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rtada" sheetId="1" state="visible" r:id="rId3"/>
    <sheet name="Resumen_KPIs" sheetId="2" state="visible" r:id="rId4"/>
    <sheet name="Empleados" sheetId="3" state="visible" r:id="rId5"/>
    <sheet name="Productividad_Diaria" sheetId="4" state="visible" r:id="rId6"/>
    <sheet name="Asistencia_Diaria" sheetId="5" state="visible" r:id="rId7"/>
    <sheet name="Seguridad" sheetId="6" state="visible" r:id="rId8"/>
    <sheet name="Capacitac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<sst xmlns="http://schemas.openxmlformats.org/spreadsheetml/2006/main" count="1056" uniqueCount="91">
  <si>
    <t xml:space="preserve">Dashboard RRHH — Rendimiento de Depósito</t>
  </si>
  <si>
    <t xml:space="preserve">Distribuidora de Bebidas | Datos de ejemplo — Junio 2026</t>
  </si>
  <si>
    <t xml:space="preserve">Hoja</t>
  </si>
  <si>
    <t xml:space="preserve">Contenido</t>
  </si>
  <si>
    <t xml:space="preserve">Empleados</t>
  </si>
  <si>
    <t xml:space="preserve">Ficha maestra de los 5 operarios de depósito (puesto, turno, antigüedad).</t>
  </si>
  <si>
    <t xml:space="preserve">Productividad_Diaria</t>
  </si>
  <si>
    <t xml:space="preserve">Registro diario de bultos preparados, pedidos, horas y errores de picking.</t>
  </si>
  <si>
    <t xml:space="preserve">Asistencia_Diaria</t>
  </si>
  <si>
    <t xml:space="preserve">Registro diario de presentismo, tardanzas y horas extra.</t>
  </si>
  <si>
    <t xml:space="preserve">Seguridad</t>
  </si>
  <si>
    <t xml:space="preserve">Incidentes de seguridad y auditorías de uso de EPP.</t>
  </si>
  <si>
    <t xml:space="preserve">Capacitaciones</t>
  </si>
  <si>
    <t xml:space="preserve">Estado de cursos obligatorios por empleado.</t>
  </si>
  <si>
    <t xml:space="preserve">Resumen_KPIs</t>
  </si>
  <si>
    <t xml:space="preserve">Tablero consolidado con fórmulas (SUMIFS/COUNTIFS/AVERAGEIFS) por empleado, listo para graficar.</t>
  </si>
  <si>
    <t xml:space="preserve">ID_Empleado</t>
  </si>
  <si>
    <t xml:space="preserve">Nombre</t>
  </si>
  <si>
    <t xml:space="preserve">Puesto</t>
  </si>
  <si>
    <t xml:space="preserve">Turno</t>
  </si>
  <si>
    <t xml:space="preserve">Días_Trabajados</t>
  </si>
  <si>
    <t xml:space="preserve">Total_Bultos_Preparados</t>
  </si>
  <si>
    <t xml:space="preserve">Total_Pedidos_Preparados</t>
  </si>
  <si>
    <t xml:space="preserve">Productividad_Prom (bultos/h)</t>
  </si>
  <si>
    <t xml:space="preserve">Total_Errores_Picking</t>
  </si>
  <si>
    <t xml:space="preserve">% Error_Picking</t>
  </si>
  <si>
    <t xml:space="preserve">Total_Unidades_Merma</t>
  </si>
  <si>
    <t xml:space="preserve">Días_Ausente</t>
  </si>
  <si>
    <t xml:space="preserve">% Ausentismo</t>
  </si>
  <si>
    <t xml:space="preserve">Días_Tardanza</t>
  </si>
  <si>
    <t xml:space="preserve">Minutos_Tardanza_Totales</t>
  </si>
  <si>
    <t xml:space="preserve">Horas_Extra_Totales</t>
  </si>
  <si>
    <t xml:space="preserve">Incidentes_Seguridad</t>
  </si>
  <si>
    <t xml:space="preserve">% Cumplimiento_EPP</t>
  </si>
  <si>
    <t xml:space="preserve">Cursos_Completados</t>
  </si>
  <si>
    <t xml:space="preserve">% Capacitación_Completa</t>
  </si>
  <si>
    <t xml:space="preserve">Score_Rendimiento (0-100)</t>
  </si>
  <si>
    <t xml:space="preserve">Fecha_Ingreso</t>
  </si>
  <si>
    <t xml:space="preserve">Antigüedad (años)</t>
  </si>
  <si>
    <t xml:space="preserve">EMP-001</t>
  </si>
  <si>
    <t xml:space="preserve">Martín Gómez</t>
  </si>
  <si>
    <t xml:space="preserve">Operario de Picking</t>
  </si>
  <si>
    <t xml:space="preserve">Mañana (06-14h)</t>
  </si>
  <si>
    <t xml:space="preserve">2021-03-15</t>
  </si>
  <si>
    <t xml:space="preserve">EMP-002</t>
  </si>
  <si>
    <t xml:space="preserve">Lucía Fernández</t>
  </si>
  <si>
    <t xml:space="preserve">Operaria de Picking</t>
  </si>
  <si>
    <t xml:space="preserve">2022-07-01</t>
  </si>
  <si>
    <t xml:space="preserve">EMP-003</t>
  </si>
  <si>
    <t xml:space="preserve">Diego Ramírez</t>
  </si>
  <si>
    <t xml:space="preserve">Estibador / Carga</t>
  </si>
  <si>
    <t xml:space="preserve">Tarde (14-22h)</t>
  </si>
  <si>
    <t xml:space="preserve">2019-11-10</t>
  </si>
  <si>
    <t xml:space="preserve">EMP-004</t>
  </si>
  <si>
    <t xml:space="preserve">Sofía Álvarez</t>
  </si>
  <si>
    <t xml:space="preserve">2023-02-20</t>
  </si>
  <si>
    <t xml:space="preserve">EMP-005</t>
  </si>
  <si>
    <t xml:space="preserve">Bruno Torres</t>
  </si>
  <si>
    <t xml:space="preserve">2020-05-05</t>
  </si>
  <si>
    <t xml:space="preserve">Fecha</t>
  </si>
  <si>
    <t xml:space="preserve">Horas_Trabajadas</t>
  </si>
  <si>
    <t xml:space="preserve">Bultos_Preparados</t>
  </si>
  <si>
    <t xml:space="preserve">Pedidos_Preparados</t>
  </si>
  <si>
    <t xml:space="preserve">Errores_Picking</t>
  </si>
  <si>
    <t xml:space="preserve">Unidades_Merma</t>
  </si>
  <si>
    <t xml:space="preserve">Bultos_por_Hora</t>
  </si>
  <si>
    <t xml:space="preserve">Estado</t>
  </si>
  <si>
    <t xml:space="preserve">Minutos_Tardanza</t>
  </si>
  <si>
    <t xml:space="preserve">Horas_Extra</t>
  </si>
  <si>
    <t xml:space="preserve">Presente</t>
  </si>
  <si>
    <t xml:space="preserve">Tardanza</t>
  </si>
  <si>
    <t xml:space="preserve">Ausente</t>
  </si>
  <si>
    <t xml:space="preserve">Es_Incidente</t>
  </si>
  <si>
    <t xml:space="preserve">Tipo/Descripción</t>
  </si>
  <si>
    <t xml:space="preserve">Gravedad</t>
  </si>
  <si>
    <t xml:space="preserve">Uso_Correcto_EPP</t>
  </si>
  <si>
    <t xml:space="preserve">No</t>
  </si>
  <si>
    <t xml:space="preserve">Auditoría EPP (rutina)</t>
  </si>
  <si>
    <t xml:space="preserve">-</t>
  </si>
  <si>
    <t xml:space="preserve">Sí</t>
  </si>
  <si>
    <t xml:space="preserve">Curso</t>
  </si>
  <si>
    <t xml:space="preserve">Fecha_Completado</t>
  </si>
  <si>
    <t xml:space="preserve">Horas_Curso</t>
  </si>
  <si>
    <t xml:space="preserve">Manejo seguro de cargas</t>
  </si>
  <si>
    <t xml:space="preserve">Completado</t>
  </si>
  <si>
    <t xml:space="preserve">Uso de autoelevador</t>
  </si>
  <si>
    <t xml:space="preserve">Primeros auxilios</t>
  </si>
  <si>
    <t xml:space="preserve">Procedimientos de picking WMS</t>
  </si>
  <si>
    <t xml:space="preserve">Uso correcto de EPP</t>
  </si>
  <si>
    <t xml:space="preserve">Programado</t>
  </si>
  <si>
    <t xml:space="preserve">Pendiente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</si>
</sst>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General"/>
    <numFmt numFmtId="168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BD5D5"/>
          <bgColor rgb="FF000000"/>
        </patternFill>
      </fill>
    </dxf>
    <dxf>
      <fill>
        <patternFill patternType="solid">
          <fgColor rgb="FFFDEBC8"/>
          <bgColor rgb="FF000000"/>
        </patternFill>
      </fill>
    </dxf>
    <dxf>
      <fill>
        <patternFill>
          <bgColor rgb="FFFBD5D5"/>
        </patternFill>
      </fill>
    </dxf>
    <dxf>
      <fill>
        <patternFill>
          <bgColor rgb="FFFD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C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sistencia" displayName="TblAsistencia" ref="A1:G126" headerRowCount="1" totalsRowCount="0" totalsRowShown="0">
  <autoFilter ref="A1:G126"/>
  <tableColumns count="7">
    <tableColumn id="1" name="Fecha"/>
    <tableColumn id="2" name="ID_Empleado"/>
    <tableColumn id="3" name="Nombre"/>
    <tableColumn id="4" name="Estado"/>
    <tableColumn id="5" name="Horas_Trabajadas"/>
    <tableColumn id="6" name="Minutos_Tardanza"/>
    <tableColumn id="7" name="Horas_Extra"/>
  </tableColumns>
</table>
</file>

<file path=xl/tables/table2.xml><?xml version="1.0" encoding="utf-8"?>
<table xmlns="http://schemas.openxmlformats.org/spreadsheetml/2006/main" id="2" name="TblCapacitaciones" displayName="TblCapacitaciones" ref="A1:F26" headerRowCount="1" totalsRowCount="0" totalsRowShown="0">
  <autoFilter ref="A1:F26"/>
  <tableColumns count="6">
    <tableColumn id="1" name="ID_Empleado"/>
    <tableColumn id="2" name="Nombre"/>
    <tableColumn id="3" name="Curso"/>
    <tableColumn id="4" name="Estado"/>
    <tableColumn id="5" name="Fecha_Completado"/>
    <tableColumn id="6" name="Horas_Curso"/>
  </tableColumns>
</table>
</file>

<file path=xl/tables/table3.xml><?xml version="1.0" encoding="utf-8"?>
<table xmlns="http://schemas.openxmlformats.org/spreadsheetml/2006/main" id="3" name="TblEmpleados" displayName="TblEmpleados" ref="A1:F6" headerRowCount="1" totalsRowCount="0" totalsRowShown="0">
  <autoFilter ref="A1:F6"/>
  <tableColumns count="6">
    <tableColumn id="1" name="ID_Empleado"/>
    <tableColumn id="2" name="Nombre"/>
    <tableColumn id="3" name="Puesto"/>
    <tableColumn id="4" name="Turno"/>
    <tableColumn id="5" name="Fecha_Ingreso"/>
    <tableColumn id="6" name="Antigüedad (años)"/>
  </tableColumns>
</table>
</file>

<file path=xl/tables/table4.xml><?xml version="1.0" encoding="utf-8"?>
<table xmlns="http://schemas.openxmlformats.org/spreadsheetml/2006/main" id="4" name="TblProductividad" displayName="TblProductividad" ref="A1:J122" headerRowCount="1" totalsRowCount="0" totalsRowShown="0">
  <autoFilter ref="A1:J122"/>
  <tableColumns count="10">
    <tableColumn id="1" name="Fecha"/>
    <tableColumn id="2" name="ID_Empleado"/>
    <tableColumn id="3" name="Nombre"/>
    <tableColumn id="4" name="Turno"/>
    <tableColumn id="5" name="Horas_Trabajadas"/>
    <tableColumn id="6" name="Bultos_Preparados"/>
    <tableColumn id="7" name="Pedidos_Preparados"/>
    <tableColumn id="8" name="Errores_Picking"/>
    <tableColumn id="9" name="Unidades_Merma"/>
    <tableColumn id="10" name="Bultos_por_Hora"/>
  </tableColumns>
</table>
</file>

<file path=xl/tables/table5.xml><?xml version="1.0" encoding="utf-8"?>
<table xmlns="http://schemas.openxmlformats.org/spreadsheetml/2006/main" id="5" name="TblResumenKPIs" displayName="TblResumenKPIs" ref="A1:U6" headerRowCount="1" totalsRowCount="0" totalsRowShown="0">
  <autoFilter ref="A1:U6"/>
  <tableColumns count="21">
    <tableColumn id="1" name="ID_Empleado"/>
    <tableColumn id="2" name="Nombre"/>
    <tableColumn id="3" name="Puesto"/>
    <tableColumn id="4" name="Turno"/>
    <tableColumn id="5" name="Días_Trabajados"/>
    <tableColumn id="6" name="Total_Bultos_Preparados"/>
    <tableColumn id="7" name="Total_Pedidos_Preparados"/>
    <tableColumn id="8" name="Productividad_Prom (bultos/h)"/>
    <tableColumn id="9" name="Total_Errores_Picking"/>
    <tableColumn id="10" name="% Error_Picking"/>
    <tableColumn id="11" name="Total_Unidades_Merma"/>
    <tableColumn id="12" name="Días_Ausente"/>
    <tableColumn id="13" name="% Ausentismo"/>
    <tableColumn id="14" name="Días_Tardanza"/>
    <tableColumn id="15" name="Minutos_Tardanza_Totales"/>
    <tableColumn id="16" name="Horas_Extra_Totales"/>
    <tableColumn id="17" name="Incidentes_Seguridad"/>
    <tableColumn id="18" name="% Cumplimiento_EPP"/>
    <tableColumn id="19" name="Cursos_Completados"/>
    <tableColumn id="20" name="% Capacitación_Completa"/>
    <tableColumn id="21" name="Score_Rendimiento (0-100)"/>
  </tableColumns>
</table>
</file>

<file path=xl/tables/table6.xml><?xml version="1.0" encoding="utf-8"?>
<table xmlns="http://schemas.openxmlformats.org/spreadsheetml/2006/main" id="6" name="TblSeguridad" displayName="TblSeguridad" ref="A1:G21" headerRowCount="1" totalsRowCount="0" totalsRowShown="0">
  <autoFilter ref="A1:G21"/>
  <tableColumns count="7">
    <tableColumn id="1" name="Fecha"/>
    <tableColumn id="2" name="ID_Empleado"/>
    <tableColumn id="3" name="Nombre"/>
    <tableColumn id="4" name="Es_Incidente"/>
    <tableColumn id="5" name="Tipo/Descripción"/>
    <tableColumn id="6" name="Gravedad"/>
    <tableColumn id="7" name="Uso_Correcto_EP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15" hidden="false" customHeight="true" outlineLevel="0" collapsed="false">
      <c r="B6" s="4" t="s">
        <v>2</v>
      </c>
      <c r="C6" s="4" t="s">
        <v>3</v>
      </c>
    </row>
    <row r="7" customFormat="false" ht="15" hidden="false" customHeight="true" outlineLevel="0" collapsed="false">
      <c r="B7" s="5" t="s">
        <v>4</v>
      </c>
      <c r="C7" s="5" t="s">
        <v>5</v>
      </c>
    </row>
    <row r="8" customFormat="false" ht="15" hidden="false" customHeight="true" outlineLevel="0" collapsed="false">
      <c r="B8" s="5" t="s">
        <v>6</v>
      </c>
      <c r="C8" s="5" t="s">
        <v>7</v>
      </c>
    </row>
    <row r="9" customFormat="false" ht="15" hidden="false" customHeight="true" outlineLevel="0" collapsed="false">
      <c r="B9" s="5" t="s">
        <v>8</v>
      </c>
      <c r="C9" s="5" t="s">
        <v>9</v>
      </c>
    </row>
    <row r="10" customFormat="false" ht="15" hidden="false" customHeight="true" outlineLevel="0" collapsed="false">
      <c r="B10" s="5" t="s">
        <v>10</v>
      </c>
      <c r="C10" s="5" t="s">
        <v>11</v>
      </c>
    </row>
    <row r="11" customFormat="false" ht="15" hidden="false" customHeight="true" outlineLevel="0" collapsed="false">
      <c r="B11" s="5" t="s">
        <v>12</v>
      </c>
      <c r="C11" s="5" t="s">
        <v>13</v>
      </c>
    </row>
    <row r="12" customFormat="false" ht="15" hidden="false" customHeight="true" outlineLevel="0" collapsed="false">
      <c r="B12" s="5" t="s">
        <v>14</v>
      </c>
      <c r="C12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7" min="6" style="1" width="18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15"/>
    <col collapsed="false" customWidth="true" hidden="false" outlineLevel="0" max="19" min="17" style="1" width="16"/>
    <col collapsed="false" customWidth="true" hidden="false" outlineLevel="0" max="21" min="20" style="1" width="18"/>
  </cols>
  <sheetData>
    <row r="1" customFormat="false" ht="4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customFormat="false" ht="15" hidden="false" customHeight="true" outlineLevel="0" collapsed="false">
      <c r="A2" s="7" t="str">
        <f aca="false">Empleados!A2</f>
        <v>EMP-001</v>
      </c>
      <c r="B2" s="7" t="str">
        <f aca="false">Empleados!B2</f>
        <v>Martín Gómez</v>
      </c>
      <c r="C2" s="7" t="str">
        <f aca="false">Empleados!C2</f>
        <v>Operario de Picking</v>
      </c>
      <c r="D2" s="7" t="str">
        <f aca="false">Empleados!D2</f>
        <v>Mañana (06-14h)</v>
      </c>
      <c r="E2" s="7" t="n">
        <f aca="false">COUNTIF(Productividad_Diaria!$B$2:$B$122,A2)</f>
        <v>25</v>
      </c>
      <c r="F2" s="7" t="n">
        <f aca="false">SUMIF(Productividad_Diaria!$B$2:$B$122,A2,Productividad_Diaria!$F$2:$F$122)</f>
        <v>20769</v>
      </c>
      <c r="G2" s="7" t="n">
        <f aca="false">SUMIF(Productividad_Diaria!$B$2:$B$122,A2,Productividad_Diaria!$G$2:$G$122)</f>
        <v>1987</v>
      </c>
      <c r="H2" s="8" t="n">
        <f aca="false">IFERROR(AVERAGEIF(Productividad_Diaria!$B$2:$B$122,A2,Productividad_Diaria!$J$2:$J$122),0)</f>
        <v>104.673333333333</v>
      </c>
      <c r="I2" s="7" t="n">
        <f aca="false">SUMIF(Productividad_Diaria!$B$2:$B$122,A2,Productividad_Diaria!$H$2:$H$122)</f>
        <v>24</v>
      </c>
      <c r="J2" s="9" t="n">
        <f aca="false">IFERROR(I2/G2,0)</f>
        <v>0.0120785103170609</v>
      </c>
      <c r="K2" s="7" t="n">
        <f aca="false">SUMIF(Productividad_Diaria!$B$2:$B$122,A2,Productividad_Diaria!$I$2:$I$122)</f>
        <v>28</v>
      </c>
      <c r="L2" s="7" t="n">
        <f aca="false">COUNTIFS(Asistencia_Diaria!$B$2:$B$126,A2,Asistencia_Diaria!$D$2:$D$126,"Ausente")</f>
        <v>0</v>
      </c>
      <c r="M2" s="9" t="n">
        <f aca="false">L2/25</f>
        <v>0</v>
      </c>
      <c r="N2" s="7" t="n">
        <f aca="false">COUNTIFS(Asistencia_Diaria!$B$2:$B$126,A2,Asistencia_Diaria!$D$2:$D$126,"Tardanza")</f>
        <v>2</v>
      </c>
      <c r="O2" s="7" t="n">
        <f aca="false">SUMIF(Asistencia_Diaria!$B$2:$B$126,A2,Asistencia_Diaria!$F$2:$F$126)</f>
        <v>75</v>
      </c>
      <c r="P2" s="7" t="n">
        <f aca="false">SUMIF(Asistencia_Diaria!$B$2:$B$126,A2,Asistencia_Diaria!$G$2:$G$126)</f>
        <v>19.5</v>
      </c>
      <c r="Q2" s="7" t="n">
        <f aca="false">COUNTIFS(Seguridad!$B$2:$B$21,A2,Seguridad!$D$2:$D$21,"Sí")</f>
        <v>0</v>
      </c>
      <c r="R2" s="9" t="n">
        <f aca="false">IFERROR(COUNTIFS(Seguridad!$B$2:$B$21,A2,Seguridad!$G$2:$G$21,"Sí")/COUNTIF(Seguridad!$B$2:$B$21,A2),1)</f>
        <v>1</v>
      </c>
      <c r="S2" s="7" t="n">
        <f aca="false">COUNTIFS(Capacitaciones!$A$2:$A$26,A2,Capacitaciones!$D$2:$D$26,"Completado")</f>
        <v>5</v>
      </c>
      <c r="T2" s="9" t="n">
        <f aca="false">S2/COUNTIF(Capacitaciones!$A$2:$A$26,A2)</f>
        <v>1</v>
      </c>
      <c r="U2" s="10" t="n">
        <f aca="false">MIN(ROUND(MIN(H2/100,1.15)*40 + (1-MIN(J2*5,1))*25 + (1-M2)*20 + R2*15,0),100)</f>
        <v>100</v>
      </c>
    </row>
    <row r="3" customFormat="false" ht="15" hidden="false" customHeight="true" outlineLevel="0" collapsed="false">
      <c r="A3" s="7" t="str">
        <f aca="false">Empleados!A3</f>
        <v>EMP-002</v>
      </c>
      <c r="B3" s="7" t="str">
        <f aca="false">Empleados!B3</f>
        <v>Lucía Fernández</v>
      </c>
      <c r="C3" s="7" t="str">
        <f aca="false">Empleados!C3</f>
        <v>Operaria de Picking</v>
      </c>
      <c r="D3" s="7" t="str">
        <f aca="false">Empleados!D3</f>
        <v>Mañana (06-14h)</v>
      </c>
      <c r="E3" s="7" t="n">
        <f aca="false">COUNTIF(Productividad_Diaria!$B$2:$B$122,A3)</f>
        <v>25</v>
      </c>
      <c r="F3" s="7" t="n">
        <f aca="false">SUMIF(Productividad_Diaria!$B$2:$B$122,A3,Productividad_Diaria!$F$2:$F$122)</f>
        <v>16897</v>
      </c>
      <c r="G3" s="7" t="n">
        <f aca="false">SUMIF(Productividad_Diaria!$B$2:$B$122,A3,Productividad_Diaria!$G$2:$G$122)</f>
        <v>1567</v>
      </c>
      <c r="H3" s="8" t="n">
        <f aca="false">IFERROR(AVERAGEIF(Productividad_Diaria!$B$2:$B$122,A3,Productividad_Diaria!$J$2:$J$122),0)</f>
        <v>84.485</v>
      </c>
      <c r="I3" s="7" t="n">
        <f aca="false">SUMIF(Productividad_Diaria!$B$2:$B$122,A3,Productividad_Diaria!$H$2:$H$122)</f>
        <v>36</v>
      </c>
      <c r="J3" s="9" t="n">
        <f aca="false">IFERROR(I3/G3,0)</f>
        <v>0.02297383535418</v>
      </c>
      <c r="K3" s="7" t="n">
        <f aca="false">SUMIF(Productividad_Diaria!$B$2:$B$122,A3,Productividad_Diaria!$I$2:$I$122)</f>
        <v>34</v>
      </c>
      <c r="L3" s="7" t="n">
        <f aca="false">COUNTIFS(Asistencia_Diaria!$B$2:$B$126,A3,Asistencia_Diaria!$D$2:$D$126,"Ausente")</f>
        <v>0</v>
      </c>
      <c r="M3" s="9" t="n">
        <f aca="false">L3/25</f>
        <v>0</v>
      </c>
      <c r="N3" s="7" t="n">
        <f aca="false">COUNTIFS(Asistencia_Diaria!$B$2:$B$126,A3,Asistencia_Diaria!$D$2:$D$126,"Tardanza")</f>
        <v>0</v>
      </c>
      <c r="O3" s="7" t="n">
        <f aca="false">SUMIF(Asistencia_Diaria!$B$2:$B$126,A3,Asistencia_Diaria!$F$2:$F$126)</f>
        <v>0</v>
      </c>
      <c r="P3" s="7" t="n">
        <f aca="false">SUMIF(Asistencia_Diaria!$B$2:$B$126,A3,Asistencia_Diaria!$G$2:$G$126)</f>
        <v>13</v>
      </c>
      <c r="Q3" s="7" t="n">
        <f aca="false">COUNTIFS(Seguridad!$B$2:$B$21,A3,Seguridad!$D$2:$D$21,"Sí")</f>
        <v>0</v>
      </c>
      <c r="R3" s="9" t="n">
        <f aca="false">IFERROR(COUNTIFS(Seguridad!$B$2:$B$21,A3,Seguridad!$G$2:$G$21,"Sí")/COUNTIF(Seguridad!$B$2:$B$21,A3),1)</f>
        <v>1</v>
      </c>
      <c r="S3" s="7" t="n">
        <f aca="false">COUNTIFS(Capacitaciones!$A$2:$A$26,A3,Capacitaciones!$D$2:$D$26,"Completado")</f>
        <v>3</v>
      </c>
      <c r="T3" s="9" t="n">
        <f aca="false">S3/COUNTIF(Capacitaciones!$A$2:$A$26,A3)</f>
        <v>0.6</v>
      </c>
      <c r="U3" s="10" t="n">
        <f aca="false">MIN(ROUND(MIN(H3/100,1.15)*40 + (1-MIN(J3*5,1))*25 + (1-M3)*20 + R3*15,0),100)</f>
        <v>91</v>
      </c>
    </row>
    <row r="4" customFormat="false" ht="15" hidden="false" customHeight="true" outlineLevel="0" collapsed="false">
      <c r="A4" s="7" t="str">
        <f aca="false">Empleados!A4</f>
        <v>EMP-003</v>
      </c>
      <c r="B4" s="7" t="str">
        <f aca="false">Empleados!B4</f>
        <v>Diego Ramírez</v>
      </c>
      <c r="C4" s="7" t="str">
        <f aca="false">Empleados!C4</f>
        <v>Estibador / Carga</v>
      </c>
      <c r="D4" s="7" t="str">
        <f aca="false">Empleados!D4</f>
        <v>Tarde (14-22h)</v>
      </c>
      <c r="E4" s="7" t="n">
        <f aca="false">COUNTIF(Productividad_Diaria!$B$2:$B$122,A4)</f>
        <v>25</v>
      </c>
      <c r="F4" s="7" t="n">
        <f aca="false">SUMIF(Productividad_Diaria!$B$2:$B$122,A4,Productividad_Diaria!$F$2:$F$122)</f>
        <v>21031</v>
      </c>
      <c r="G4" s="7" t="n">
        <f aca="false">SUMIF(Productividad_Diaria!$B$2:$B$122,A4,Productividad_Diaria!$G$2:$G$122)</f>
        <v>1925</v>
      </c>
      <c r="H4" s="8" t="n">
        <f aca="false">IFERROR(AVERAGEIF(Productividad_Diaria!$B$2:$B$122,A4,Productividad_Diaria!$J$2:$J$122),0)</f>
        <v>105.155</v>
      </c>
      <c r="I4" s="7" t="n">
        <f aca="false">SUMIF(Productividad_Diaria!$B$2:$B$122,A4,Productividad_Diaria!$H$2:$H$122)</f>
        <v>22</v>
      </c>
      <c r="J4" s="9" t="n">
        <f aca="false">IFERROR(I4/G4,0)</f>
        <v>0.0114285714285714</v>
      </c>
      <c r="K4" s="7" t="n">
        <f aca="false">SUMIF(Productividad_Diaria!$B$2:$B$122,A4,Productividad_Diaria!$I$2:$I$122)</f>
        <v>20</v>
      </c>
      <c r="L4" s="7" t="n">
        <f aca="false">COUNTIFS(Asistencia_Diaria!$B$2:$B$126,A4,Asistencia_Diaria!$D$2:$D$126,"Ausente")</f>
        <v>0</v>
      </c>
      <c r="M4" s="9" t="n">
        <f aca="false">L4/25</f>
        <v>0</v>
      </c>
      <c r="N4" s="7" t="n">
        <f aca="false">COUNTIFS(Asistencia_Diaria!$B$2:$B$126,A4,Asistencia_Diaria!$D$2:$D$126,"Tardanza")</f>
        <v>0</v>
      </c>
      <c r="O4" s="7" t="n">
        <f aca="false">SUMIF(Asistencia_Diaria!$B$2:$B$126,A4,Asistencia_Diaria!$F$2:$F$126)</f>
        <v>0</v>
      </c>
      <c r="P4" s="7" t="n">
        <f aca="false">SUMIF(Asistencia_Diaria!$B$2:$B$126,A4,Asistencia_Diaria!$G$2:$G$126)</f>
        <v>15.5</v>
      </c>
      <c r="Q4" s="7" t="n">
        <f aca="false">COUNTIFS(Seguridad!$B$2:$B$21,A4,Seguridad!$D$2:$D$21,"Sí")</f>
        <v>0</v>
      </c>
      <c r="R4" s="9" t="n">
        <f aca="false">IFERROR(COUNTIFS(Seguridad!$B$2:$B$21,A4,Seguridad!$G$2:$G$21,"Sí")/COUNTIF(Seguridad!$B$2:$B$21,A4),1)</f>
        <v>1</v>
      </c>
      <c r="S4" s="7" t="n">
        <f aca="false">COUNTIFS(Capacitaciones!$A$2:$A$26,A4,Capacitaciones!$D$2:$D$26,"Completado")</f>
        <v>5</v>
      </c>
      <c r="T4" s="9" t="n">
        <f aca="false">S4/COUNTIF(Capacitaciones!$A$2:$A$26,A4)</f>
        <v>1</v>
      </c>
      <c r="U4" s="10" t="n">
        <f aca="false">MIN(ROUND(MIN(H4/100,1.15)*40 + (1-MIN(J4*5,1))*25 + (1-M4)*20 + R4*15,0),100)</f>
        <v>100</v>
      </c>
    </row>
    <row r="5" customFormat="false" ht="15" hidden="false" customHeight="true" outlineLevel="0" collapsed="false">
      <c r="A5" s="7" t="str">
        <f aca="false">Empleados!A5</f>
        <v>EMP-004</v>
      </c>
      <c r="B5" s="7" t="str">
        <f aca="false">Empleados!B5</f>
        <v>Sofía Álvarez</v>
      </c>
      <c r="C5" s="7" t="str">
        <f aca="false">Empleados!C5</f>
        <v>Operaria de Picking</v>
      </c>
      <c r="D5" s="7" t="str">
        <f aca="false">Empleados!D5</f>
        <v>Tarde (14-22h)</v>
      </c>
      <c r="E5" s="7" t="n">
        <f aca="false">COUNTIF(Productividad_Diaria!$B$2:$B$122,A5)</f>
        <v>21</v>
      </c>
      <c r="F5" s="7" t="n">
        <f aca="false">SUMIF(Productividad_Diaria!$B$2:$B$122,A5,Productividad_Diaria!$F$2:$F$122)</f>
        <v>11143</v>
      </c>
      <c r="G5" s="7" t="n">
        <f aca="false">SUMIF(Productividad_Diaria!$B$2:$B$122,A5,Productividad_Diaria!$G$2:$G$122)</f>
        <v>1031</v>
      </c>
      <c r="H5" s="8" t="n">
        <f aca="false">IFERROR(AVERAGEIF(Productividad_Diaria!$B$2:$B$122,A5,Productividad_Diaria!$J$2:$J$122),0)</f>
        <v>66.8524596024596</v>
      </c>
      <c r="I5" s="7" t="n">
        <f aca="false">SUMIF(Productividad_Diaria!$B$2:$B$122,A5,Productividad_Diaria!$H$2:$H$122)</f>
        <v>43</v>
      </c>
      <c r="J5" s="9" t="n">
        <f aca="false">IFERROR(I5/G5,0)</f>
        <v>0.0417070805043647</v>
      </c>
      <c r="K5" s="7" t="n">
        <f aca="false">SUMIF(Productividad_Diaria!$B$2:$B$122,A5,Productividad_Diaria!$I$2:$I$122)</f>
        <v>33</v>
      </c>
      <c r="L5" s="7" t="n">
        <f aca="false">COUNTIFS(Asistencia_Diaria!$B$2:$B$126,A5,Asistencia_Diaria!$D$2:$D$126,"Ausente")</f>
        <v>4</v>
      </c>
      <c r="M5" s="9" t="n">
        <f aca="false">L5/25</f>
        <v>0.16</v>
      </c>
      <c r="N5" s="7" t="n">
        <f aca="false">COUNTIFS(Asistencia_Diaria!$B$2:$B$126,A5,Asistencia_Diaria!$D$2:$D$126,"Tardanza")</f>
        <v>2</v>
      </c>
      <c r="O5" s="7" t="n">
        <f aca="false">SUMIF(Asistencia_Diaria!$B$2:$B$126,A5,Asistencia_Diaria!$F$2:$F$126)</f>
        <v>50</v>
      </c>
      <c r="P5" s="7" t="n">
        <f aca="false">SUMIF(Asistencia_Diaria!$B$2:$B$126,A5,Asistencia_Diaria!$G$2:$G$126)</f>
        <v>11</v>
      </c>
      <c r="Q5" s="7" t="n">
        <f aca="false">COUNTIFS(Seguridad!$B$2:$B$21,A5,Seguridad!$D$2:$D$21,"Sí")</f>
        <v>0</v>
      </c>
      <c r="R5" s="9" t="n">
        <f aca="false">IFERROR(COUNTIFS(Seguridad!$B$2:$B$21,A5,Seguridad!$G$2:$G$21,"Sí")/COUNTIF(Seguridad!$B$2:$B$21,A5),1)</f>
        <v>1</v>
      </c>
      <c r="S5" s="7" t="n">
        <f aca="false">COUNTIFS(Capacitaciones!$A$2:$A$26,A5,Capacitaciones!$D$2:$D$26,"Completado")</f>
        <v>2</v>
      </c>
      <c r="T5" s="9" t="n">
        <f aca="false">S5/COUNTIF(Capacitaciones!$A$2:$A$26,A5)</f>
        <v>0.4</v>
      </c>
      <c r="U5" s="10" t="n">
        <f aca="false">MIN(ROUND(MIN(H5/100,1.15)*40 + (1-MIN(J5*5,1))*25 + (1-M5)*20 + R5*15,0),100)</f>
        <v>78</v>
      </c>
    </row>
    <row r="6" customFormat="false" ht="15" hidden="false" customHeight="true" outlineLevel="0" collapsed="false">
      <c r="A6" s="7" t="str">
        <f aca="false">Empleados!A6</f>
        <v>EMP-005</v>
      </c>
      <c r="B6" s="7" t="str">
        <f aca="false">Empleados!B6</f>
        <v>Bruno Torres</v>
      </c>
      <c r="C6" s="7" t="str">
        <f aca="false">Empleados!C6</f>
        <v>Estibador / Carga</v>
      </c>
      <c r="D6" s="7" t="str">
        <f aca="false">Empleados!D6</f>
        <v>Mañana (06-14h)</v>
      </c>
      <c r="E6" s="7" t="n">
        <f aca="false">COUNTIF(Productividad_Diaria!$B$2:$B$122,A6)</f>
        <v>25</v>
      </c>
      <c r="F6" s="7" t="n">
        <f aca="false">SUMIF(Productividad_Diaria!$B$2:$B$122,A6,Productividad_Diaria!$F$2:$F$122)</f>
        <v>16741</v>
      </c>
      <c r="G6" s="7" t="n">
        <f aca="false">SUMIF(Productividad_Diaria!$B$2:$B$122,A6,Productividad_Diaria!$G$2:$G$122)</f>
        <v>1508</v>
      </c>
      <c r="H6" s="8" t="n">
        <f aca="false">IFERROR(AVERAGEIF(Productividad_Diaria!$B$2:$B$122,A6,Productividad_Diaria!$J$2:$J$122),0)</f>
        <v>84.8734799723228</v>
      </c>
      <c r="I6" s="7" t="n">
        <f aca="false">SUMIF(Productividad_Diaria!$B$2:$B$122,A6,Productividad_Diaria!$H$2:$H$122)</f>
        <v>32</v>
      </c>
      <c r="J6" s="9" t="n">
        <f aca="false">IFERROR(I6/G6,0)</f>
        <v>0.0212201591511936</v>
      </c>
      <c r="K6" s="7" t="n">
        <f aca="false">SUMIF(Productividad_Diaria!$B$2:$B$122,A6,Productividad_Diaria!$I$2:$I$122)</f>
        <v>16</v>
      </c>
      <c r="L6" s="7" t="n">
        <f aca="false">COUNTIFS(Asistencia_Diaria!$B$2:$B$126,A6,Asistencia_Diaria!$D$2:$D$126,"Ausente")</f>
        <v>0</v>
      </c>
      <c r="M6" s="9" t="n">
        <f aca="false">L6/25</f>
        <v>0</v>
      </c>
      <c r="N6" s="7" t="n">
        <f aca="false">COUNTIFS(Asistencia_Diaria!$B$2:$B$126,A6,Asistencia_Diaria!$D$2:$D$126,"Tardanza")</f>
        <v>5</v>
      </c>
      <c r="O6" s="7" t="n">
        <f aca="false">SUMIF(Asistencia_Diaria!$B$2:$B$126,A6,Asistencia_Diaria!$F$2:$F$126)</f>
        <v>110</v>
      </c>
      <c r="P6" s="7" t="n">
        <f aca="false">SUMIF(Asistencia_Diaria!$B$2:$B$126,A6,Asistencia_Diaria!$G$2:$G$126)</f>
        <v>12</v>
      </c>
      <c r="Q6" s="7" t="n">
        <f aca="false">COUNTIFS(Seguridad!$B$2:$B$21,A6,Seguridad!$D$2:$D$21,"Sí")</f>
        <v>0</v>
      </c>
      <c r="R6" s="9" t="n">
        <f aca="false">IFERROR(COUNTIFS(Seguridad!$B$2:$B$21,A6,Seguridad!$G$2:$G$21,"Sí")/COUNTIF(Seguridad!$B$2:$B$21,A6),1)</f>
        <v>1</v>
      </c>
      <c r="S6" s="7" t="n">
        <f aca="false">COUNTIFS(Capacitaciones!$A$2:$A$26,A6,Capacitaciones!$D$2:$D$26,"Completado")</f>
        <v>3</v>
      </c>
      <c r="T6" s="9" t="n">
        <f aca="false">S6/COUNTIF(Capacitaciones!$A$2:$A$26,A6)</f>
        <v>0.6</v>
      </c>
      <c r="U6" s="10" t="n">
        <f aca="false">MIN(ROUND(MIN(H6/100,1.15)*40 + (1-MIN(J6*5,1))*25 + (1-M6)*20 + R6*15,0),100)</f>
        <v>91</v>
      </c>
    </row>
  </sheetData>
  <conditionalFormatting sqref="U2:U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6"/>
  </cols>
  <sheetData>
    <row r="1" customFormat="false" ht="23.2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37</v>
      </c>
      <c r="F1" s="6" t="s">
        <v>38</v>
      </c>
    </row>
    <row r="2" customFormat="false" ht="15" hidden="false" customHeight="true" outlineLevel="0" collapsed="false">
      <c r="A2" s="11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n">
        <f aca="true">DATEDIF(E2,TODAY(),"y")</f>
        <v>5</v>
      </c>
    </row>
    <row r="3" customFormat="false" ht="15" hidden="false" customHeight="true" outlineLevel="0" collapsed="false">
      <c r="A3" s="11" t="s">
        <v>44</v>
      </c>
      <c r="B3" s="11" t="s">
        <v>45</v>
      </c>
      <c r="C3" s="11" t="s">
        <v>46</v>
      </c>
      <c r="D3" s="11" t="s">
        <v>42</v>
      </c>
      <c r="E3" s="11" t="s">
        <v>47</v>
      </c>
      <c r="F3" s="11" t="n">
        <f aca="true">DATEDIF(E3,TODAY(),"y")</f>
        <v>4</v>
      </c>
    </row>
    <row r="4" customFormat="false" ht="15" hidden="false" customHeight="true" outlineLevel="0" collapsed="false">
      <c r="A4" s="11" t="s">
        <v>48</v>
      </c>
      <c r="B4" s="11" t="s">
        <v>49</v>
      </c>
      <c r="C4" s="11" t="s">
        <v>50</v>
      </c>
      <c r="D4" s="11" t="s">
        <v>51</v>
      </c>
      <c r="E4" s="11" t="s">
        <v>52</v>
      </c>
      <c r="F4" s="11" t="n">
        <f aca="true">DATEDIF(E4,TODAY(),"y")</f>
        <v>6</v>
      </c>
    </row>
    <row r="5" customFormat="false" ht="15" hidden="false" customHeight="true" outlineLevel="0" collapsed="false">
      <c r="A5" s="11" t="s">
        <v>53</v>
      </c>
      <c r="B5" s="11" t="s">
        <v>54</v>
      </c>
      <c r="C5" s="11" t="s">
        <v>46</v>
      </c>
      <c r="D5" s="11" t="s">
        <v>51</v>
      </c>
      <c r="E5" s="11" t="s">
        <v>55</v>
      </c>
      <c r="F5" s="11" t="n">
        <f aca="true">DATEDIF(E5,TODAY(),"y")</f>
        <v>3</v>
      </c>
    </row>
    <row r="6" customFormat="false" ht="15" hidden="false" customHeight="true" outlineLevel="0" collapsed="false">
      <c r="A6" s="11" t="s">
        <v>56</v>
      </c>
      <c r="B6" s="11" t="s">
        <v>57</v>
      </c>
      <c r="C6" s="11" t="s">
        <v>50</v>
      </c>
      <c r="D6" s="11" t="s">
        <v>42</v>
      </c>
      <c r="E6" s="11" t="s">
        <v>58</v>
      </c>
      <c r="F6" s="11" t="n">
        <f aca="true">DATEDIF(E6,TODAY(),"y")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9" min="8" style="1" width="14"/>
    <col collapsed="false" customWidth="true" hidden="false" outlineLevel="0" max="10" min="10" style="1" width="13"/>
  </cols>
  <sheetData>
    <row r="1" customFormat="false" ht="23.25" hidden="false" customHeight="true" outlineLevel="0" collapsed="false">
      <c r="A1" s="6" t="s">
        <v>59</v>
      </c>
      <c r="B1" s="6" t="s">
        <v>16</v>
      </c>
      <c r="C1" s="6" t="s">
        <v>17</v>
      </c>
      <c r="D1" s="6" t="s">
        <v>19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</row>
    <row r="2" customFormat="false" ht="15" hidden="false" customHeight="true" outlineLevel="0" collapsed="false">
      <c r="A2" s="12" t="n">
        <v>46174</v>
      </c>
      <c r="B2" s="11" t="s">
        <v>39</v>
      </c>
      <c r="C2" s="11" t="s">
        <v>40</v>
      </c>
      <c r="D2" s="11" t="s">
        <v>42</v>
      </c>
      <c r="E2" s="11" t="n">
        <v>8</v>
      </c>
      <c r="F2" s="11" t="n">
        <v>918</v>
      </c>
      <c r="G2" s="11" t="n">
        <v>96</v>
      </c>
      <c r="H2" s="11" t="n">
        <v>1</v>
      </c>
      <c r="I2" s="11" t="n">
        <v>0</v>
      </c>
      <c r="J2" s="13" t="n">
        <f aca="false">F2/E2</f>
        <v>114.75</v>
      </c>
    </row>
    <row r="3" customFormat="false" ht="15" hidden="false" customHeight="true" outlineLevel="0" collapsed="false">
      <c r="A3" s="12" t="n">
        <v>46175</v>
      </c>
      <c r="B3" s="11" t="s">
        <v>39</v>
      </c>
      <c r="C3" s="11" t="s">
        <v>40</v>
      </c>
      <c r="D3" s="11" t="s">
        <v>42</v>
      </c>
      <c r="E3" s="11" t="n">
        <v>8</v>
      </c>
      <c r="F3" s="11" t="n">
        <v>828</v>
      </c>
      <c r="G3" s="11" t="n">
        <v>60</v>
      </c>
      <c r="H3" s="11" t="n">
        <v>1</v>
      </c>
      <c r="I3" s="11" t="n">
        <v>0</v>
      </c>
      <c r="J3" s="13" t="n">
        <f aca="false">F3/E3</f>
        <v>103.5</v>
      </c>
    </row>
    <row r="4" customFormat="false" ht="15" hidden="false" customHeight="true" outlineLevel="0" collapsed="false">
      <c r="A4" s="12" t="n">
        <v>46176</v>
      </c>
      <c r="B4" s="11" t="s">
        <v>39</v>
      </c>
      <c r="C4" s="11" t="s">
        <v>40</v>
      </c>
      <c r="D4" s="11" t="s">
        <v>42</v>
      </c>
      <c r="E4" s="11" t="n">
        <v>8</v>
      </c>
      <c r="F4" s="11" t="n">
        <v>875</v>
      </c>
      <c r="G4" s="11" t="n">
        <v>98</v>
      </c>
      <c r="H4" s="11" t="n">
        <v>1</v>
      </c>
      <c r="I4" s="11" t="n">
        <v>0</v>
      </c>
      <c r="J4" s="13" t="n">
        <f aca="false">F4/E4</f>
        <v>109.375</v>
      </c>
    </row>
    <row r="5" customFormat="false" ht="15" hidden="false" customHeight="true" outlineLevel="0" collapsed="false">
      <c r="A5" s="12" t="n">
        <v>46177</v>
      </c>
      <c r="B5" s="11" t="s">
        <v>39</v>
      </c>
      <c r="C5" s="11" t="s">
        <v>40</v>
      </c>
      <c r="D5" s="11" t="s">
        <v>42</v>
      </c>
      <c r="E5" s="11" t="n">
        <v>8</v>
      </c>
      <c r="F5" s="11" t="n">
        <v>853</v>
      </c>
      <c r="G5" s="11" t="n">
        <v>76</v>
      </c>
      <c r="H5" s="11" t="n">
        <v>1</v>
      </c>
      <c r="I5" s="11" t="n">
        <v>4</v>
      </c>
      <c r="J5" s="13" t="n">
        <f aca="false">F5/E5</f>
        <v>106.625</v>
      </c>
    </row>
    <row r="6" customFormat="false" ht="15" hidden="false" customHeight="true" outlineLevel="0" collapsed="false">
      <c r="A6" s="12" t="n">
        <v>46178</v>
      </c>
      <c r="B6" s="11" t="s">
        <v>39</v>
      </c>
      <c r="C6" s="11" t="s">
        <v>40</v>
      </c>
      <c r="D6" s="11" t="s">
        <v>42</v>
      </c>
      <c r="E6" s="11" t="n">
        <v>8</v>
      </c>
      <c r="F6" s="11" t="n">
        <v>841</v>
      </c>
      <c r="G6" s="11" t="n">
        <v>64</v>
      </c>
      <c r="H6" s="11" t="n">
        <v>0</v>
      </c>
      <c r="I6" s="11" t="n">
        <v>0</v>
      </c>
      <c r="J6" s="13" t="n">
        <f aca="false">F6/E6</f>
        <v>105.125</v>
      </c>
    </row>
    <row r="7" customFormat="false" ht="15" hidden="false" customHeight="true" outlineLevel="0" collapsed="false">
      <c r="A7" s="12" t="n">
        <v>46179</v>
      </c>
      <c r="B7" s="11" t="s">
        <v>39</v>
      </c>
      <c r="C7" s="11" t="s">
        <v>40</v>
      </c>
      <c r="D7" s="11" t="s">
        <v>42</v>
      </c>
      <c r="E7" s="11" t="n">
        <v>8</v>
      </c>
      <c r="F7" s="11" t="n">
        <v>773</v>
      </c>
      <c r="G7" s="11" t="n">
        <v>85</v>
      </c>
      <c r="H7" s="11" t="n">
        <v>1</v>
      </c>
      <c r="I7" s="11" t="n">
        <v>0</v>
      </c>
      <c r="J7" s="13" t="n">
        <f aca="false">F7/E7</f>
        <v>96.625</v>
      </c>
    </row>
    <row r="8" customFormat="false" ht="15" hidden="false" customHeight="true" outlineLevel="0" collapsed="false">
      <c r="A8" s="12" t="n">
        <v>46181</v>
      </c>
      <c r="B8" s="11" t="s">
        <v>39</v>
      </c>
      <c r="C8" s="11" t="s">
        <v>40</v>
      </c>
      <c r="D8" s="11" t="s">
        <v>42</v>
      </c>
      <c r="E8" s="11" t="n">
        <v>7.2</v>
      </c>
      <c r="F8" s="11" t="n">
        <v>718</v>
      </c>
      <c r="G8" s="11" t="n">
        <v>82</v>
      </c>
      <c r="H8" s="11" t="n">
        <v>1</v>
      </c>
      <c r="I8" s="11" t="n">
        <v>4</v>
      </c>
      <c r="J8" s="13" t="n">
        <f aca="false">F8/E8</f>
        <v>99.7222222222222</v>
      </c>
    </row>
    <row r="9" customFormat="false" ht="15" hidden="false" customHeight="true" outlineLevel="0" collapsed="false">
      <c r="A9" s="12" t="n">
        <v>46182</v>
      </c>
      <c r="B9" s="11" t="s">
        <v>39</v>
      </c>
      <c r="C9" s="11" t="s">
        <v>40</v>
      </c>
      <c r="D9" s="11" t="s">
        <v>42</v>
      </c>
      <c r="E9" s="11" t="n">
        <v>7.2</v>
      </c>
      <c r="F9" s="11" t="n">
        <v>773</v>
      </c>
      <c r="G9" s="11" t="n">
        <v>74</v>
      </c>
      <c r="H9" s="11" t="n">
        <v>1</v>
      </c>
      <c r="I9" s="11" t="n">
        <v>0</v>
      </c>
      <c r="J9" s="13" t="n">
        <f aca="false">F9/E9</f>
        <v>107.361111111111</v>
      </c>
    </row>
    <row r="10" customFormat="false" ht="15" hidden="false" customHeight="true" outlineLevel="0" collapsed="false">
      <c r="A10" s="12" t="n">
        <v>46183</v>
      </c>
      <c r="B10" s="11" t="s">
        <v>39</v>
      </c>
      <c r="C10" s="11" t="s">
        <v>40</v>
      </c>
      <c r="D10" s="11" t="s">
        <v>42</v>
      </c>
      <c r="E10" s="11" t="n">
        <v>8</v>
      </c>
      <c r="F10" s="11" t="n">
        <v>910</v>
      </c>
      <c r="G10" s="11" t="n">
        <v>99</v>
      </c>
      <c r="H10" s="11" t="n">
        <v>1</v>
      </c>
      <c r="I10" s="11" t="n">
        <v>2</v>
      </c>
      <c r="J10" s="13" t="n">
        <f aca="false">F10/E10</f>
        <v>113.75</v>
      </c>
    </row>
    <row r="11" customFormat="false" ht="15" hidden="false" customHeight="true" outlineLevel="0" collapsed="false">
      <c r="A11" s="12" t="n">
        <v>46184</v>
      </c>
      <c r="B11" s="11" t="s">
        <v>39</v>
      </c>
      <c r="C11" s="11" t="s">
        <v>40</v>
      </c>
      <c r="D11" s="11" t="s">
        <v>42</v>
      </c>
      <c r="E11" s="11" t="n">
        <v>8</v>
      </c>
      <c r="F11" s="11" t="n">
        <v>867</v>
      </c>
      <c r="G11" s="11" t="n">
        <v>88</v>
      </c>
      <c r="H11" s="11" t="n">
        <v>1</v>
      </c>
      <c r="I11" s="11" t="n">
        <v>0</v>
      </c>
      <c r="J11" s="13" t="n">
        <f aca="false">F11/E11</f>
        <v>108.375</v>
      </c>
    </row>
    <row r="12" customFormat="false" ht="15" hidden="false" customHeight="true" outlineLevel="0" collapsed="false">
      <c r="A12" s="12" t="n">
        <v>46185</v>
      </c>
      <c r="B12" s="11" t="s">
        <v>39</v>
      </c>
      <c r="C12" s="11" t="s">
        <v>40</v>
      </c>
      <c r="D12" s="11" t="s">
        <v>42</v>
      </c>
      <c r="E12" s="11" t="n">
        <v>8</v>
      </c>
      <c r="F12" s="11" t="n">
        <v>772</v>
      </c>
      <c r="G12" s="11" t="n">
        <v>72</v>
      </c>
      <c r="H12" s="11" t="n">
        <v>1</v>
      </c>
      <c r="I12" s="11" t="n">
        <v>0</v>
      </c>
      <c r="J12" s="13" t="n">
        <f aca="false">F12/E12</f>
        <v>96.5</v>
      </c>
    </row>
    <row r="13" customFormat="false" ht="15" hidden="false" customHeight="true" outlineLevel="0" collapsed="false">
      <c r="A13" s="12" t="n">
        <v>46186</v>
      </c>
      <c r="B13" s="11" t="s">
        <v>39</v>
      </c>
      <c r="C13" s="11" t="s">
        <v>40</v>
      </c>
      <c r="D13" s="11" t="s">
        <v>42</v>
      </c>
      <c r="E13" s="11" t="n">
        <v>8</v>
      </c>
      <c r="F13" s="11" t="n">
        <v>772</v>
      </c>
      <c r="G13" s="11" t="n">
        <v>83</v>
      </c>
      <c r="H13" s="11" t="n">
        <v>1</v>
      </c>
      <c r="I13" s="11" t="n">
        <v>0</v>
      </c>
      <c r="J13" s="13" t="n">
        <f aca="false">F13/E13</f>
        <v>96.5</v>
      </c>
    </row>
    <row r="14" customFormat="false" ht="15" hidden="false" customHeight="true" outlineLevel="0" collapsed="false">
      <c r="A14" s="12" t="n">
        <v>46188</v>
      </c>
      <c r="B14" s="11" t="s">
        <v>39</v>
      </c>
      <c r="C14" s="11" t="s">
        <v>40</v>
      </c>
      <c r="D14" s="11" t="s">
        <v>42</v>
      </c>
      <c r="E14" s="11" t="n">
        <v>8</v>
      </c>
      <c r="F14" s="11" t="n">
        <v>901</v>
      </c>
      <c r="G14" s="11" t="n">
        <v>68</v>
      </c>
      <c r="H14" s="11" t="n">
        <v>1</v>
      </c>
      <c r="I14" s="11" t="n">
        <v>5</v>
      </c>
      <c r="J14" s="13" t="n">
        <f aca="false">F14/E14</f>
        <v>112.625</v>
      </c>
    </row>
    <row r="15" customFormat="false" ht="15" hidden="false" customHeight="true" outlineLevel="0" collapsed="false">
      <c r="A15" s="12" t="n">
        <v>46189</v>
      </c>
      <c r="B15" s="11" t="s">
        <v>39</v>
      </c>
      <c r="C15" s="11" t="s">
        <v>40</v>
      </c>
      <c r="D15" s="11" t="s">
        <v>42</v>
      </c>
      <c r="E15" s="11" t="n">
        <v>8</v>
      </c>
      <c r="F15" s="11" t="n">
        <v>873</v>
      </c>
      <c r="G15" s="11" t="n">
        <v>75</v>
      </c>
      <c r="H15" s="11" t="n">
        <v>1</v>
      </c>
      <c r="I15" s="11" t="n">
        <v>0</v>
      </c>
      <c r="J15" s="13" t="n">
        <f aca="false">F15/E15</f>
        <v>109.125</v>
      </c>
    </row>
    <row r="16" customFormat="false" ht="15" hidden="false" customHeight="true" outlineLevel="0" collapsed="false">
      <c r="A16" s="12" t="n">
        <v>46190</v>
      </c>
      <c r="B16" s="11" t="s">
        <v>39</v>
      </c>
      <c r="C16" s="11" t="s">
        <v>40</v>
      </c>
      <c r="D16" s="11" t="s">
        <v>42</v>
      </c>
      <c r="E16" s="11" t="n">
        <v>8</v>
      </c>
      <c r="F16" s="11" t="n">
        <v>762</v>
      </c>
      <c r="G16" s="11" t="n">
        <v>59</v>
      </c>
      <c r="H16" s="11" t="n">
        <v>1</v>
      </c>
      <c r="I16" s="11" t="n">
        <v>0</v>
      </c>
      <c r="J16" s="13" t="n">
        <f aca="false">F16/E16</f>
        <v>95.25</v>
      </c>
    </row>
    <row r="17" customFormat="false" ht="15" hidden="false" customHeight="true" outlineLevel="0" collapsed="false">
      <c r="A17" s="12" t="n">
        <v>46191</v>
      </c>
      <c r="B17" s="11" t="s">
        <v>39</v>
      </c>
      <c r="C17" s="11" t="s">
        <v>40</v>
      </c>
      <c r="D17" s="11" t="s">
        <v>42</v>
      </c>
      <c r="E17" s="11" t="n">
        <v>8</v>
      </c>
      <c r="F17" s="11" t="n">
        <v>910</v>
      </c>
      <c r="G17" s="11" t="n">
        <v>103</v>
      </c>
      <c r="H17" s="11" t="n">
        <v>1</v>
      </c>
      <c r="I17" s="11" t="n">
        <v>3</v>
      </c>
      <c r="J17" s="13" t="n">
        <f aca="false">F17/E17</f>
        <v>113.75</v>
      </c>
    </row>
    <row r="18" customFormat="false" ht="15" hidden="false" customHeight="true" outlineLevel="0" collapsed="false">
      <c r="A18" s="12" t="n">
        <v>46192</v>
      </c>
      <c r="B18" s="11" t="s">
        <v>39</v>
      </c>
      <c r="C18" s="11" t="s">
        <v>40</v>
      </c>
      <c r="D18" s="11" t="s">
        <v>42</v>
      </c>
      <c r="E18" s="11" t="n">
        <v>8</v>
      </c>
      <c r="F18" s="11" t="n">
        <v>803</v>
      </c>
      <c r="G18" s="11" t="n">
        <v>69</v>
      </c>
      <c r="H18" s="11" t="n">
        <v>1</v>
      </c>
      <c r="I18" s="11" t="n">
        <v>4</v>
      </c>
      <c r="J18" s="13" t="n">
        <f aca="false">F18/E18</f>
        <v>100.375</v>
      </c>
    </row>
    <row r="19" customFormat="false" ht="15" hidden="false" customHeight="true" outlineLevel="0" collapsed="false">
      <c r="A19" s="12" t="n">
        <v>46195</v>
      </c>
      <c r="B19" s="11" t="s">
        <v>39</v>
      </c>
      <c r="C19" s="11" t="s">
        <v>40</v>
      </c>
      <c r="D19" s="11" t="s">
        <v>42</v>
      </c>
      <c r="E19" s="11" t="n">
        <v>8</v>
      </c>
      <c r="F19" s="11" t="n">
        <v>802</v>
      </c>
      <c r="G19" s="11" t="n">
        <v>73</v>
      </c>
      <c r="H19" s="11" t="n">
        <v>1</v>
      </c>
      <c r="I19" s="11" t="n">
        <v>0</v>
      </c>
      <c r="J19" s="13" t="n">
        <f aca="false">F19/E19</f>
        <v>100.25</v>
      </c>
    </row>
    <row r="20" customFormat="false" ht="15" hidden="false" customHeight="true" outlineLevel="0" collapsed="false">
      <c r="A20" s="12" t="n">
        <v>46196</v>
      </c>
      <c r="B20" s="11" t="s">
        <v>39</v>
      </c>
      <c r="C20" s="11" t="s">
        <v>40</v>
      </c>
      <c r="D20" s="11" t="s">
        <v>42</v>
      </c>
      <c r="E20" s="11" t="n">
        <v>8</v>
      </c>
      <c r="F20" s="11" t="n">
        <v>774</v>
      </c>
      <c r="G20" s="11" t="n">
        <v>73</v>
      </c>
      <c r="H20" s="11" t="n">
        <v>1</v>
      </c>
      <c r="I20" s="11" t="n">
        <v>5</v>
      </c>
      <c r="J20" s="13" t="n">
        <f aca="false">F20/E20</f>
        <v>96.75</v>
      </c>
    </row>
    <row r="21" customFormat="false" ht="15" hidden="false" customHeight="true" outlineLevel="0" collapsed="false">
      <c r="A21" s="12" t="n">
        <v>46197</v>
      </c>
      <c r="B21" s="11" t="s">
        <v>39</v>
      </c>
      <c r="C21" s="11" t="s">
        <v>40</v>
      </c>
      <c r="D21" s="11" t="s">
        <v>42</v>
      </c>
      <c r="E21" s="11" t="n">
        <v>8</v>
      </c>
      <c r="F21" s="11" t="n">
        <v>862</v>
      </c>
      <c r="G21" s="11" t="n">
        <v>90</v>
      </c>
      <c r="H21" s="11" t="n">
        <v>1</v>
      </c>
      <c r="I21" s="11" t="n">
        <v>0</v>
      </c>
      <c r="J21" s="13" t="n">
        <f aca="false">F21/E21</f>
        <v>107.75</v>
      </c>
    </row>
    <row r="22" customFormat="false" ht="15" hidden="false" customHeight="true" outlineLevel="0" collapsed="false">
      <c r="A22" s="12" t="n">
        <v>46198</v>
      </c>
      <c r="B22" s="11" t="s">
        <v>39</v>
      </c>
      <c r="C22" s="11" t="s">
        <v>40</v>
      </c>
      <c r="D22" s="11" t="s">
        <v>42</v>
      </c>
      <c r="E22" s="11" t="n">
        <v>8</v>
      </c>
      <c r="F22" s="11" t="n">
        <v>829</v>
      </c>
      <c r="G22" s="11" t="n">
        <v>103</v>
      </c>
      <c r="H22" s="11" t="n">
        <v>1</v>
      </c>
      <c r="I22" s="11" t="n">
        <v>0</v>
      </c>
      <c r="J22" s="13" t="n">
        <f aca="false">F22/E22</f>
        <v>103.625</v>
      </c>
    </row>
    <row r="23" customFormat="false" ht="15" hidden="false" customHeight="true" outlineLevel="0" collapsed="false">
      <c r="A23" s="12" t="n">
        <v>46199</v>
      </c>
      <c r="B23" s="11" t="s">
        <v>39</v>
      </c>
      <c r="C23" s="11" t="s">
        <v>40</v>
      </c>
      <c r="D23" s="11" t="s">
        <v>42</v>
      </c>
      <c r="E23" s="11" t="n">
        <v>8</v>
      </c>
      <c r="F23" s="11" t="n">
        <v>905</v>
      </c>
      <c r="G23" s="11" t="n">
        <v>80</v>
      </c>
      <c r="H23" s="11" t="n">
        <v>1</v>
      </c>
      <c r="I23" s="11" t="n">
        <v>0</v>
      </c>
      <c r="J23" s="13" t="n">
        <f aca="false">F23/E23</f>
        <v>113.125</v>
      </c>
    </row>
    <row r="24" customFormat="false" ht="15" hidden="false" customHeight="true" outlineLevel="0" collapsed="false">
      <c r="A24" s="12" t="n">
        <v>46200</v>
      </c>
      <c r="B24" s="11" t="s">
        <v>39</v>
      </c>
      <c r="C24" s="11" t="s">
        <v>40</v>
      </c>
      <c r="D24" s="11" t="s">
        <v>42</v>
      </c>
      <c r="E24" s="11" t="n">
        <v>8</v>
      </c>
      <c r="F24" s="11" t="n">
        <v>784</v>
      </c>
      <c r="G24" s="11" t="n">
        <v>89</v>
      </c>
      <c r="H24" s="11" t="n">
        <v>1</v>
      </c>
      <c r="I24" s="11" t="n">
        <v>0</v>
      </c>
      <c r="J24" s="13" t="n">
        <f aca="false">F24/E24</f>
        <v>98</v>
      </c>
    </row>
    <row r="25" customFormat="false" ht="15" hidden="false" customHeight="true" outlineLevel="0" collapsed="false">
      <c r="A25" s="12" t="n">
        <v>46202</v>
      </c>
      <c r="B25" s="11" t="s">
        <v>39</v>
      </c>
      <c r="C25" s="11" t="s">
        <v>40</v>
      </c>
      <c r="D25" s="11" t="s">
        <v>42</v>
      </c>
      <c r="E25" s="11" t="n">
        <v>8</v>
      </c>
      <c r="F25" s="11" t="n">
        <v>887</v>
      </c>
      <c r="G25" s="11" t="n">
        <v>67</v>
      </c>
      <c r="H25" s="11" t="n">
        <v>1</v>
      </c>
      <c r="I25" s="11" t="n">
        <v>1</v>
      </c>
      <c r="J25" s="13" t="n">
        <f aca="false">F25/E25</f>
        <v>110.875</v>
      </c>
    </row>
    <row r="26" customFormat="false" ht="15" hidden="false" customHeight="true" outlineLevel="0" collapsed="false">
      <c r="A26" s="12" t="n">
        <v>46203</v>
      </c>
      <c r="B26" s="11" t="s">
        <v>39</v>
      </c>
      <c r="C26" s="11" t="s">
        <v>40</v>
      </c>
      <c r="D26" s="11" t="s">
        <v>42</v>
      </c>
      <c r="E26" s="11" t="n">
        <v>8</v>
      </c>
      <c r="F26" s="11" t="n">
        <v>777</v>
      </c>
      <c r="G26" s="11" t="n">
        <v>61</v>
      </c>
      <c r="H26" s="11" t="n">
        <v>1</v>
      </c>
      <c r="I26" s="11" t="n">
        <v>0</v>
      </c>
      <c r="J26" s="13" t="n">
        <f aca="false">F26/E26</f>
        <v>97.125</v>
      </c>
    </row>
    <row r="27" customFormat="false" ht="15" hidden="false" customHeight="true" outlineLevel="0" collapsed="false">
      <c r="A27" s="12" t="n">
        <v>46174</v>
      </c>
      <c r="B27" s="11" t="s">
        <v>44</v>
      </c>
      <c r="C27" s="11" t="s">
        <v>45</v>
      </c>
      <c r="D27" s="11" t="s">
        <v>42</v>
      </c>
      <c r="E27" s="11" t="n">
        <v>8</v>
      </c>
      <c r="F27" s="11" t="n">
        <v>699</v>
      </c>
      <c r="G27" s="11" t="n">
        <v>78</v>
      </c>
      <c r="H27" s="11" t="n">
        <v>2</v>
      </c>
      <c r="I27" s="11" t="n">
        <v>0</v>
      </c>
      <c r="J27" s="13" t="n">
        <f aca="false">F27/E27</f>
        <v>87.375</v>
      </c>
    </row>
    <row r="28" customFormat="false" ht="15" hidden="false" customHeight="true" outlineLevel="0" collapsed="false">
      <c r="A28" s="12" t="n">
        <v>46175</v>
      </c>
      <c r="B28" s="11" t="s">
        <v>44</v>
      </c>
      <c r="C28" s="11" t="s">
        <v>45</v>
      </c>
      <c r="D28" s="11" t="s">
        <v>42</v>
      </c>
      <c r="E28" s="11" t="n">
        <v>8</v>
      </c>
      <c r="F28" s="11" t="n">
        <v>756</v>
      </c>
      <c r="G28" s="11" t="n">
        <v>59</v>
      </c>
      <c r="H28" s="11" t="n">
        <v>2</v>
      </c>
      <c r="I28" s="11" t="n">
        <v>4</v>
      </c>
      <c r="J28" s="13" t="n">
        <f aca="false">F28/E28</f>
        <v>94.5</v>
      </c>
    </row>
    <row r="29" customFormat="false" ht="15" hidden="false" customHeight="true" outlineLevel="0" collapsed="false">
      <c r="A29" s="12" t="n">
        <v>46176</v>
      </c>
      <c r="B29" s="11" t="s">
        <v>44</v>
      </c>
      <c r="C29" s="11" t="s">
        <v>45</v>
      </c>
      <c r="D29" s="11" t="s">
        <v>42</v>
      </c>
      <c r="E29" s="11" t="n">
        <v>8</v>
      </c>
      <c r="F29" s="11" t="n">
        <v>653</v>
      </c>
      <c r="G29" s="11" t="n">
        <v>48</v>
      </c>
      <c r="H29" s="11" t="n">
        <v>1</v>
      </c>
      <c r="I29" s="11" t="n">
        <v>0</v>
      </c>
      <c r="J29" s="13" t="n">
        <f aca="false">F29/E29</f>
        <v>81.625</v>
      </c>
    </row>
    <row r="30" customFormat="false" ht="15" hidden="false" customHeight="true" outlineLevel="0" collapsed="false">
      <c r="A30" s="12" t="n">
        <v>46177</v>
      </c>
      <c r="B30" s="11" t="s">
        <v>44</v>
      </c>
      <c r="C30" s="11" t="s">
        <v>45</v>
      </c>
      <c r="D30" s="11" t="s">
        <v>42</v>
      </c>
      <c r="E30" s="11" t="n">
        <v>8</v>
      </c>
      <c r="F30" s="11" t="n">
        <v>730</v>
      </c>
      <c r="G30" s="11" t="n">
        <v>76</v>
      </c>
      <c r="H30" s="11" t="n">
        <v>2</v>
      </c>
      <c r="I30" s="11" t="n">
        <v>5</v>
      </c>
      <c r="J30" s="13" t="n">
        <f aca="false">F30/E30</f>
        <v>91.25</v>
      </c>
    </row>
    <row r="31" customFormat="false" ht="15" hidden="false" customHeight="true" outlineLevel="0" collapsed="false">
      <c r="A31" s="12" t="n">
        <v>46178</v>
      </c>
      <c r="B31" s="11" t="s">
        <v>44</v>
      </c>
      <c r="C31" s="11" t="s">
        <v>45</v>
      </c>
      <c r="D31" s="11" t="s">
        <v>42</v>
      </c>
      <c r="E31" s="11" t="n">
        <v>8</v>
      </c>
      <c r="F31" s="11" t="n">
        <v>738</v>
      </c>
      <c r="G31" s="11" t="n">
        <v>79</v>
      </c>
      <c r="H31" s="11" t="n">
        <v>2</v>
      </c>
      <c r="I31" s="11" t="n">
        <v>0</v>
      </c>
      <c r="J31" s="13" t="n">
        <f aca="false">F31/E31</f>
        <v>92.25</v>
      </c>
    </row>
    <row r="32" customFormat="false" ht="15" hidden="false" customHeight="true" outlineLevel="0" collapsed="false">
      <c r="A32" s="12" t="n">
        <v>46179</v>
      </c>
      <c r="B32" s="11" t="s">
        <v>44</v>
      </c>
      <c r="C32" s="11" t="s">
        <v>45</v>
      </c>
      <c r="D32" s="11" t="s">
        <v>42</v>
      </c>
      <c r="E32" s="11" t="n">
        <v>8</v>
      </c>
      <c r="F32" s="11" t="n">
        <v>649</v>
      </c>
      <c r="G32" s="11" t="n">
        <v>51</v>
      </c>
      <c r="H32" s="11" t="n">
        <v>1</v>
      </c>
      <c r="I32" s="11" t="n">
        <v>1</v>
      </c>
      <c r="J32" s="13" t="n">
        <f aca="false">F32/E32</f>
        <v>81.125</v>
      </c>
    </row>
    <row r="33" customFormat="false" ht="15" hidden="false" customHeight="true" outlineLevel="0" collapsed="false">
      <c r="A33" s="12" t="n">
        <v>46181</v>
      </c>
      <c r="B33" s="11" t="s">
        <v>44</v>
      </c>
      <c r="C33" s="11" t="s">
        <v>45</v>
      </c>
      <c r="D33" s="11" t="s">
        <v>42</v>
      </c>
      <c r="E33" s="11" t="n">
        <v>8</v>
      </c>
      <c r="F33" s="11" t="n">
        <v>653</v>
      </c>
      <c r="G33" s="11" t="n">
        <v>50</v>
      </c>
      <c r="H33" s="11" t="n">
        <v>1</v>
      </c>
      <c r="I33" s="11" t="n">
        <v>4</v>
      </c>
      <c r="J33" s="13" t="n">
        <f aca="false">F33/E33</f>
        <v>81.625</v>
      </c>
    </row>
    <row r="34" customFormat="false" ht="15" hidden="false" customHeight="true" outlineLevel="0" collapsed="false">
      <c r="A34" s="12" t="n">
        <v>46182</v>
      </c>
      <c r="B34" s="11" t="s">
        <v>44</v>
      </c>
      <c r="C34" s="11" t="s">
        <v>45</v>
      </c>
      <c r="D34" s="11" t="s">
        <v>42</v>
      </c>
      <c r="E34" s="11" t="n">
        <v>8</v>
      </c>
      <c r="F34" s="11" t="n">
        <v>664</v>
      </c>
      <c r="G34" s="11" t="n">
        <v>48</v>
      </c>
      <c r="H34" s="11" t="n">
        <v>1</v>
      </c>
      <c r="I34" s="11" t="n">
        <v>0</v>
      </c>
      <c r="J34" s="13" t="n">
        <f aca="false">F34/E34</f>
        <v>83</v>
      </c>
    </row>
    <row r="35" customFormat="false" ht="15" hidden="false" customHeight="true" outlineLevel="0" collapsed="false">
      <c r="A35" s="12" t="n">
        <v>46183</v>
      </c>
      <c r="B35" s="11" t="s">
        <v>44</v>
      </c>
      <c r="C35" s="11" t="s">
        <v>45</v>
      </c>
      <c r="D35" s="11" t="s">
        <v>42</v>
      </c>
      <c r="E35" s="11" t="n">
        <v>8</v>
      </c>
      <c r="F35" s="11" t="n">
        <v>618</v>
      </c>
      <c r="G35" s="11" t="n">
        <v>45</v>
      </c>
      <c r="H35" s="11" t="n">
        <v>1</v>
      </c>
      <c r="I35" s="11" t="n">
        <v>0</v>
      </c>
      <c r="J35" s="13" t="n">
        <f aca="false">F35/E35</f>
        <v>77.25</v>
      </c>
    </row>
    <row r="36" customFormat="false" ht="15" hidden="false" customHeight="true" outlineLevel="0" collapsed="false">
      <c r="A36" s="12" t="n">
        <v>46184</v>
      </c>
      <c r="B36" s="11" t="s">
        <v>44</v>
      </c>
      <c r="C36" s="11" t="s">
        <v>45</v>
      </c>
      <c r="D36" s="11" t="s">
        <v>42</v>
      </c>
      <c r="E36" s="11" t="n">
        <v>8</v>
      </c>
      <c r="F36" s="11" t="n">
        <v>642</v>
      </c>
      <c r="G36" s="11" t="n">
        <v>74</v>
      </c>
      <c r="H36" s="11" t="n">
        <v>2</v>
      </c>
      <c r="I36" s="11" t="n">
        <v>0</v>
      </c>
      <c r="J36" s="13" t="n">
        <f aca="false">F36/E36</f>
        <v>80.25</v>
      </c>
    </row>
    <row r="37" customFormat="false" ht="15" hidden="false" customHeight="true" outlineLevel="0" collapsed="false">
      <c r="A37" s="12" t="n">
        <v>46185</v>
      </c>
      <c r="B37" s="11" t="s">
        <v>44</v>
      </c>
      <c r="C37" s="11" t="s">
        <v>45</v>
      </c>
      <c r="D37" s="11" t="s">
        <v>42</v>
      </c>
      <c r="E37" s="11" t="n">
        <v>8</v>
      </c>
      <c r="F37" s="11" t="n">
        <v>650</v>
      </c>
      <c r="G37" s="11" t="n">
        <v>56</v>
      </c>
      <c r="H37" s="11" t="n">
        <v>1</v>
      </c>
      <c r="I37" s="11" t="n">
        <v>0</v>
      </c>
      <c r="J37" s="13" t="n">
        <f aca="false">F37/E37</f>
        <v>81.25</v>
      </c>
    </row>
    <row r="38" customFormat="false" ht="15" hidden="false" customHeight="true" outlineLevel="0" collapsed="false">
      <c r="A38" s="12" t="n">
        <v>46186</v>
      </c>
      <c r="B38" s="11" t="s">
        <v>44</v>
      </c>
      <c r="C38" s="11" t="s">
        <v>45</v>
      </c>
      <c r="D38" s="11" t="s">
        <v>42</v>
      </c>
      <c r="E38" s="11" t="n">
        <v>8</v>
      </c>
      <c r="F38" s="11" t="n">
        <v>692</v>
      </c>
      <c r="G38" s="11" t="n">
        <v>73</v>
      </c>
      <c r="H38" s="11" t="n">
        <v>2</v>
      </c>
      <c r="I38" s="11" t="n">
        <v>6</v>
      </c>
      <c r="J38" s="13" t="n">
        <f aca="false">F38/E38</f>
        <v>86.5</v>
      </c>
    </row>
    <row r="39" customFormat="false" ht="15" hidden="false" customHeight="true" outlineLevel="0" collapsed="false">
      <c r="A39" s="12" t="n">
        <v>46188</v>
      </c>
      <c r="B39" s="11" t="s">
        <v>44</v>
      </c>
      <c r="C39" s="11" t="s">
        <v>45</v>
      </c>
      <c r="D39" s="11" t="s">
        <v>42</v>
      </c>
      <c r="E39" s="11" t="n">
        <v>8</v>
      </c>
      <c r="F39" s="11" t="n">
        <v>686</v>
      </c>
      <c r="G39" s="11" t="n">
        <v>56</v>
      </c>
      <c r="H39" s="11" t="n">
        <v>1</v>
      </c>
      <c r="I39" s="11" t="n">
        <v>0</v>
      </c>
      <c r="J39" s="13" t="n">
        <f aca="false">F39/E39</f>
        <v>85.75</v>
      </c>
    </row>
    <row r="40" customFormat="false" ht="15" hidden="false" customHeight="true" outlineLevel="0" collapsed="false">
      <c r="A40" s="12" t="n">
        <v>46189</v>
      </c>
      <c r="B40" s="11" t="s">
        <v>44</v>
      </c>
      <c r="C40" s="11" t="s">
        <v>45</v>
      </c>
      <c r="D40" s="11" t="s">
        <v>42</v>
      </c>
      <c r="E40" s="11" t="n">
        <v>8</v>
      </c>
      <c r="F40" s="11" t="n">
        <v>658</v>
      </c>
      <c r="G40" s="11" t="n">
        <v>78</v>
      </c>
      <c r="H40" s="11" t="n">
        <v>2</v>
      </c>
      <c r="I40" s="11" t="n">
        <v>2</v>
      </c>
      <c r="J40" s="13" t="n">
        <f aca="false">F40/E40</f>
        <v>82.25</v>
      </c>
    </row>
    <row r="41" customFormat="false" ht="15" hidden="false" customHeight="true" outlineLevel="0" collapsed="false">
      <c r="A41" s="12" t="n">
        <v>46190</v>
      </c>
      <c r="B41" s="11" t="s">
        <v>44</v>
      </c>
      <c r="C41" s="11" t="s">
        <v>45</v>
      </c>
      <c r="D41" s="11" t="s">
        <v>42</v>
      </c>
      <c r="E41" s="11" t="n">
        <v>8</v>
      </c>
      <c r="F41" s="11" t="n">
        <v>736</v>
      </c>
      <c r="G41" s="11" t="n">
        <v>60</v>
      </c>
      <c r="H41" s="11" t="n">
        <v>1</v>
      </c>
      <c r="I41" s="11" t="n">
        <v>2</v>
      </c>
      <c r="J41" s="13" t="n">
        <f aca="false">F41/E41</f>
        <v>92</v>
      </c>
    </row>
    <row r="42" customFormat="false" ht="15" hidden="false" customHeight="true" outlineLevel="0" collapsed="false">
      <c r="A42" s="12" t="n">
        <v>46191</v>
      </c>
      <c r="B42" s="11" t="s">
        <v>44</v>
      </c>
      <c r="C42" s="11" t="s">
        <v>45</v>
      </c>
      <c r="D42" s="11" t="s">
        <v>42</v>
      </c>
      <c r="E42" s="11" t="n">
        <v>8</v>
      </c>
      <c r="F42" s="11" t="n">
        <v>664</v>
      </c>
      <c r="G42" s="11" t="n">
        <v>68</v>
      </c>
      <c r="H42" s="11" t="n">
        <v>1</v>
      </c>
      <c r="I42" s="11" t="n">
        <v>0</v>
      </c>
      <c r="J42" s="13" t="n">
        <f aca="false">F42/E42</f>
        <v>83</v>
      </c>
    </row>
    <row r="43" customFormat="false" ht="15" hidden="false" customHeight="true" outlineLevel="0" collapsed="false">
      <c r="A43" s="12" t="n">
        <v>46192</v>
      </c>
      <c r="B43" s="11" t="s">
        <v>44</v>
      </c>
      <c r="C43" s="11" t="s">
        <v>45</v>
      </c>
      <c r="D43" s="11" t="s">
        <v>42</v>
      </c>
      <c r="E43" s="11" t="n">
        <v>8</v>
      </c>
      <c r="F43" s="11" t="n">
        <v>750</v>
      </c>
      <c r="G43" s="11" t="n">
        <v>62</v>
      </c>
      <c r="H43" s="11" t="n">
        <v>2</v>
      </c>
      <c r="I43" s="11" t="n">
        <v>0</v>
      </c>
      <c r="J43" s="13" t="n">
        <f aca="false">F43/E43</f>
        <v>93.75</v>
      </c>
    </row>
    <row r="44" customFormat="false" ht="15" hidden="false" customHeight="true" outlineLevel="0" collapsed="false">
      <c r="A44" s="12" t="n">
        <v>46195</v>
      </c>
      <c r="B44" s="11" t="s">
        <v>44</v>
      </c>
      <c r="C44" s="11" t="s">
        <v>45</v>
      </c>
      <c r="D44" s="11" t="s">
        <v>42</v>
      </c>
      <c r="E44" s="11" t="n">
        <v>8</v>
      </c>
      <c r="F44" s="11" t="n">
        <v>648</v>
      </c>
      <c r="G44" s="11" t="n">
        <v>57</v>
      </c>
      <c r="H44" s="11" t="n">
        <v>1</v>
      </c>
      <c r="I44" s="11" t="n">
        <v>3</v>
      </c>
      <c r="J44" s="13" t="n">
        <f aca="false">F44/E44</f>
        <v>81</v>
      </c>
    </row>
    <row r="45" customFormat="false" ht="15" hidden="false" customHeight="true" outlineLevel="0" collapsed="false">
      <c r="A45" s="12" t="n">
        <v>46196</v>
      </c>
      <c r="B45" s="11" t="s">
        <v>44</v>
      </c>
      <c r="C45" s="11" t="s">
        <v>45</v>
      </c>
      <c r="D45" s="11" t="s">
        <v>42</v>
      </c>
      <c r="E45" s="11" t="n">
        <v>8</v>
      </c>
      <c r="F45" s="11" t="n">
        <v>693</v>
      </c>
      <c r="G45" s="11" t="n">
        <v>58</v>
      </c>
      <c r="H45" s="11" t="n">
        <v>1</v>
      </c>
      <c r="I45" s="11" t="n">
        <v>0</v>
      </c>
      <c r="J45" s="13" t="n">
        <f aca="false">F45/E45</f>
        <v>86.625</v>
      </c>
    </row>
    <row r="46" customFormat="false" ht="15" hidden="false" customHeight="true" outlineLevel="0" collapsed="false">
      <c r="A46" s="12" t="n">
        <v>46197</v>
      </c>
      <c r="B46" s="11" t="s">
        <v>44</v>
      </c>
      <c r="C46" s="11" t="s">
        <v>45</v>
      </c>
      <c r="D46" s="11" t="s">
        <v>42</v>
      </c>
      <c r="E46" s="11" t="n">
        <v>8</v>
      </c>
      <c r="F46" s="11" t="n">
        <v>634</v>
      </c>
      <c r="G46" s="11" t="n">
        <v>58</v>
      </c>
      <c r="H46" s="11" t="n">
        <v>2</v>
      </c>
      <c r="I46" s="11" t="n">
        <v>0</v>
      </c>
      <c r="J46" s="13" t="n">
        <f aca="false">F46/E46</f>
        <v>79.25</v>
      </c>
    </row>
    <row r="47" customFormat="false" ht="15" hidden="false" customHeight="true" outlineLevel="0" collapsed="false">
      <c r="A47" s="12" t="n">
        <v>46198</v>
      </c>
      <c r="B47" s="11" t="s">
        <v>44</v>
      </c>
      <c r="C47" s="11" t="s">
        <v>45</v>
      </c>
      <c r="D47" s="11" t="s">
        <v>42</v>
      </c>
      <c r="E47" s="11" t="n">
        <v>8</v>
      </c>
      <c r="F47" s="11" t="n">
        <v>627</v>
      </c>
      <c r="G47" s="11" t="n">
        <v>74</v>
      </c>
      <c r="H47" s="11" t="n">
        <v>2</v>
      </c>
      <c r="I47" s="11" t="n">
        <v>0</v>
      </c>
      <c r="J47" s="13" t="n">
        <f aca="false">F47/E47</f>
        <v>78.375</v>
      </c>
    </row>
    <row r="48" customFormat="false" ht="15" hidden="false" customHeight="true" outlineLevel="0" collapsed="false">
      <c r="A48" s="12" t="n">
        <v>46199</v>
      </c>
      <c r="B48" s="11" t="s">
        <v>44</v>
      </c>
      <c r="C48" s="11" t="s">
        <v>45</v>
      </c>
      <c r="D48" s="11" t="s">
        <v>42</v>
      </c>
      <c r="E48" s="11" t="n">
        <v>8</v>
      </c>
      <c r="F48" s="11" t="n">
        <v>654</v>
      </c>
      <c r="G48" s="11" t="n">
        <v>51</v>
      </c>
      <c r="H48" s="11" t="n">
        <v>1</v>
      </c>
      <c r="I48" s="11" t="n">
        <v>0</v>
      </c>
      <c r="J48" s="13" t="n">
        <f aca="false">F48/E48</f>
        <v>81.75</v>
      </c>
    </row>
    <row r="49" customFormat="false" ht="15" hidden="false" customHeight="true" outlineLevel="0" collapsed="false">
      <c r="A49" s="12" t="n">
        <v>46200</v>
      </c>
      <c r="B49" s="11" t="s">
        <v>44</v>
      </c>
      <c r="C49" s="11" t="s">
        <v>45</v>
      </c>
      <c r="D49" s="11" t="s">
        <v>42</v>
      </c>
      <c r="E49" s="11" t="n">
        <v>8</v>
      </c>
      <c r="F49" s="11" t="n">
        <v>636</v>
      </c>
      <c r="G49" s="11" t="n">
        <v>69</v>
      </c>
      <c r="H49" s="11" t="n">
        <v>1</v>
      </c>
      <c r="I49" s="11" t="n">
        <v>3</v>
      </c>
      <c r="J49" s="13" t="n">
        <f aca="false">F49/E49</f>
        <v>79.5</v>
      </c>
    </row>
    <row r="50" customFormat="false" ht="15" hidden="false" customHeight="true" outlineLevel="0" collapsed="false">
      <c r="A50" s="12" t="n">
        <v>46202</v>
      </c>
      <c r="B50" s="11" t="s">
        <v>44</v>
      </c>
      <c r="C50" s="11" t="s">
        <v>45</v>
      </c>
      <c r="D50" s="11" t="s">
        <v>42</v>
      </c>
      <c r="E50" s="11" t="n">
        <v>8</v>
      </c>
      <c r="F50" s="11" t="n">
        <v>736</v>
      </c>
      <c r="G50" s="11" t="n">
        <v>87</v>
      </c>
      <c r="H50" s="11" t="n">
        <v>2</v>
      </c>
      <c r="I50" s="11" t="n">
        <v>0</v>
      </c>
      <c r="J50" s="13" t="n">
        <f aca="false">F50/E50</f>
        <v>92</v>
      </c>
    </row>
    <row r="51" customFormat="false" ht="15" hidden="false" customHeight="true" outlineLevel="0" collapsed="false">
      <c r="A51" s="12" t="n">
        <v>46203</v>
      </c>
      <c r="B51" s="11" t="s">
        <v>44</v>
      </c>
      <c r="C51" s="11" t="s">
        <v>45</v>
      </c>
      <c r="D51" s="11" t="s">
        <v>42</v>
      </c>
      <c r="E51" s="11" t="n">
        <v>8</v>
      </c>
      <c r="F51" s="11" t="n">
        <v>631</v>
      </c>
      <c r="G51" s="11" t="n">
        <v>52</v>
      </c>
      <c r="H51" s="11" t="n">
        <v>1</v>
      </c>
      <c r="I51" s="11" t="n">
        <v>4</v>
      </c>
      <c r="J51" s="13" t="n">
        <f aca="false">F51/E51</f>
        <v>78.875</v>
      </c>
    </row>
    <row r="52" customFormat="false" ht="15" hidden="false" customHeight="true" outlineLevel="0" collapsed="false">
      <c r="A52" s="12" t="n">
        <v>46174</v>
      </c>
      <c r="B52" s="11" t="s">
        <v>48</v>
      </c>
      <c r="C52" s="11" t="s">
        <v>49</v>
      </c>
      <c r="D52" s="11" t="s">
        <v>51</v>
      </c>
      <c r="E52" s="11" t="n">
        <v>8</v>
      </c>
      <c r="F52" s="11" t="n">
        <v>761</v>
      </c>
      <c r="G52" s="11" t="n">
        <v>61</v>
      </c>
      <c r="H52" s="11" t="n">
        <v>1</v>
      </c>
      <c r="I52" s="11" t="n">
        <v>3</v>
      </c>
      <c r="J52" s="13" t="n">
        <f aca="false">F52/E52</f>
        <v>95.125</v>
      </c>
    </row>
    <row r="53" customFormat="false" ht="15" hidden="false" customHeight="true" outlineLevel="0" collapsed="false">
      <c r="A53" s="12" t="n">
        <v>46175</v>
      </c>
      <c r="B53" s="11" t="s">
        <v>48</v>
      </c>
      <c r="C53" s="11" t="s">
        <v>49</v>
      </c>
      <c r="D53" s="11" t="s">
        <v>51</v>
      </c>
      <c r="E53" s="11" t="n">
        <v>8</v>
      </c>
      <c r="F53" s="11" t="n">
        <v>788</v>
      </c>
      <c r="G53" s="11" t="n">
        <v>57</v>
      </c>
      <c r="H53" s="11" t="n">
        <v>1</v>
      </c>
      <c r="I53" s="11" t="n">
        <v>1</v>
      </c>
      <c r="J53" s="13" t="n">
        <f aca="false">F53/E53</f>
        <v>98.5</v>
      </c>
    </row>
    <row r="54" customFormat="false" ht="15" hidden="false" customHeight="true" outlineLevel="0" collapsed="false">
      <c r="A54" s="12" t="n">
        <v>46176</v>
      </c>
      <c r="B54" s="11" t="s">
        <v>48</v>
      </c>
      <c r="C54" s="11" t="s">
        <v>49</v>
      </c>
      <c r="D54" s="11" t="s">
        <v>51</v>
      </c>
      <c r="E54" s="11" t="n">
        <v>8</v>
      </c>
      <c r="F54" s="11" t="n">
        <v>896</v>
      </c>
      <c r="G54" s="11" t="n">
        <v>83</v>
      </c>
      <c r="H54" s="11" t="n">
        <v>1</v>
      </c>
      <c r="I54" s="11" t="n">
        <v>0</v>
      </c>
      <c r="J54" s="13" t="n">
        <f aca="false">F54/E54</f>
        <v>112</v>
      </c>
    </row>
    <row r="55" customFormat="false" ht="15" hidden="false" customHeight="true" outlineLevel="0" collapsed="false">
      <c r="A55" s="12" t="n">
        <v>46177</v>
      </c>
      <c r="B55" s="11" t="s">
        <v>48</v>
      </c>
      <c r="C55" s="11" t="s">
        <v>49</v>
      </c>
      <c r="D55" s="11" t="s">
        <v>51</v>
      </c>
      <c r="E55" s="11" t="n">
        <v>8</v>
      </c>
      <c r="F55" s="11" t="n">
        <v>918</v>
      </c>
      <c r="G55" s="11" t="n">
        <v>79</v>
      </c>
      <c r="H55" s="11" t="n">
        <v>1</v>
      </c>
      <c r="I55" s="11" t="n">
        <v>0</v>
      </c>
      <c r="J55" s="13" t="n">
        <f aca="false">F55/E55</f>
        <v>114.75</v>
      </c>
    </row>
    <row r="56" customFormat="false" ht="15" hidden="false" customHeight="true" outlineLevel="0" collapsed="false">
      <c r="A56" s="12" t="n">
        <v>46178</v>
      </c>
      <c r="B56" s="11" t="s">
        <v>48</v>
      </c>
      <c r="C56" s="11" t="s">
        <v>49</v>
      </c>
      <c r="D56" s="11" t="s">
        <v>51</v>
      </c>
      <c r="E56" s="11" t="n">
        <v>8</v>
      </c>
      <c r="F56" s="11" t="n">
        <v>858</v>
      </c>
      <c r="G56" s="11" t="n">
        <v>70</v>
      </c>
      <c r="H56" s="11" t="n">
        <v>1</v>
      </c>
      <c r="I56" s="11" t="n">
        <v>0</v>
      </c>
      <c r="J56" s="13" t="n">
        <f aca="false">F56/E56</f>
        <v>107.25</v>
      </c>
    </row>
    <row r="57" customFormat="false" ht="15" hidden="false" customHeight="true" outlineLevel="0" collapsed="false">
      <c r="A57" s="12" t="n">
        <v>46179</v>
      </c>
      <c r="B57" s="11" t="s">
        <v>48</v>
      </c>
      <c r="C57" s="11" t="s">
        <v>49</v>
      </c>
      <c r="D57" s="11" t="s">
        <v>51</v>
      </c>
      <c r="E57" s="11" t="n">
        <v>8</v>
      </c>
      <c r="F57" s="11" t="n">
        <v>848</v>
      </c>
      <c r="G57" s="11" t="n">
        <v>63</v>
      </c>
      <c r="H57" s="11" t="n">
        <v>1</v>
      </c>
      <c r="I57" s="11" t="n">
        <v>0</v>
      </c>
      <c r="J57" s="13" t="n">
        <f aca="false">F57/E57</f>
        <v>106</v>
      </c>
    </row>
    <row r="58" customFormat="false" ht="15" hidden="false" customHeight="true" outlineLevel="0" collapsed="false">
      <c r="A58" s="12" t="n">
        <v>46181</v>
      </c>
      <c r="B58" s="11" t="s">
        <v>48</v>
      </c>
      <c r="C58" s="11" t="s">
        <v>49</v>
      </c>
      <c r="D58" s="11" t="s">
        <v>51</v>
      </c>
      <c r="E58" s="11" t="n">
        <v>8</v>
      </c>
      <c r="F58" s="11" t="n">
        <v>802</v>
      </c>
      <c r="G58" s="11" t="n">
        <v>85</v>
      </c>
      <c r="H58" s="11" t="n">
        <v>1</v>
      </c>
      <c r="I58" s="11" t="n">
        <v>0</v>
      </c>
      <c r="J58" s="13" t="n">
        <f aca="false">F58/E58</f>
        <v>100.25</v>
      </c>
    </row>
    <row r="59" customFormat="false" ht="15" hidden="false" customHeight="true" outlineLevel="0" collapsed="false">
      <c r="A59" s="12" t="n">
        <v>46182</v>
      </c>
      <c r="B59" s="11" t="s">
        <v>48</v>
      </c>
      <c r="C59" s="11" t="s">
        <v>49</v>
      </c>
      <c r="D59" s="11" t="s">
        <v>51</v>
      </c>
      <c r="E59" s="11" t="n">
        <v>8</v>
      </c>
      <c r="F59" s="11" t="n">
        <v>843</v>
      </c>
      <c r="G59" s="11" t="n">
        <v>72</v>
      </c>
      <c r="H59" s="11" t="n">
        <v>1</v>
      </c>
      <c r="I59" s="11" t="n">
        <v>2</v>
      </c>
      <c r="J59" s="13" t="n">
        <f aca="false">F59/E59</f>
        <v>105.375</v>
      </c>
    </row>
    <row r="60" customFormat="false" ht="15" hidden="false" customHeight="true" outlineLevel="0" collapsed="false">
      <c r="A60" s="12" t="n">
        <v>46183</v>
      </c>
      <c r="B60" s="11" t="s">
        <v>48</v>
      </c>
      <c r="C60" s="11" t="s">
        <v>49</v>
      </c>
      <c r="D60" s="11" t="s">
        <v>51</v>
      </c>
      <c r="E60" s="11" t="n">
        <v>8</v>
      </c>
      <c r="F60" s="11" t="n">
        <v>803</v>
      </c>
      <c r="G60" s="11" t="n">
        <v>81</v>
      </c>
      <c r="H60" s="11" t="n">
        <v>1</v>
      </c>
      <c r="I60" s="11" t="n">
        <v>1</v>
      </c>
      <c r="J60" s="13" t="n">
        <f aca="false">F60/E60</f>
        <v>100.375</v>
      </c>
    </row>
    <row r="61" customFormat="false" ht="15" hidden="false" customHeight="true" outlineLevel="0" collapsed="false">
      <c r="A61" s="12" t="n">
        <v>46184</v>
      </c>
      <c r="B61" s="11" t="s">
        <v>48</v>
      </c>
      <c r="C61" s="11" t="s">
        <v>49</v>
      </c>
      <c r="D61" s="11" t="s">
        <v>51</v>
      </c>
      <c r="E61" s="11" t="n">
        <v>8</v>
      </c>
      <c r="F61" s="11" t="n">
        <v>871</v>
      </c>
      <c r="G61" s="11" t="n">
        <v>71</v>
      </c>
      <c r="H61" s="11" t="n">
        <v>0</v>
      </c>
      <c r="I61" s="11" t="n">
        <v>0</v>
      </c>
      <c r="J61" s="13" t="n">
        <f aca="false">F61/E61</f>
        <v>108.875</v>
      </c>
    </row>
    <row r="62" customFormat="false" ht="15" hidden="false" customHeight="true" outlineLevel="0" collapsed="false">
      <c r="A62" s="12" t="n">
        <v>46185</v>
      </c>
      <c r="B62" s="11" t="s">
        <v>48</v>
      </c>
      <c r="C62" s="11" t="s">
        <v>49</v>
      </c>
      <c r="D62" s="11" t="s">
        <v>51</v>
      </c>
      <c r="E62" s="11" t="n">
        <v>8</v>
      </c>
      <c r="F62" s="11" t="n">
        <v>847</v>
      </c>
      <c r="G62" s="11" t="n">
        <v>81</v>
      </c>
      <c r="H62" s="11" t="n">
        <v>1</v>
      </c>
      <c r="I62" s="11" t="n">
        <v>0</v>
      </c>
      <c r="J62" s="13" t="n">
        <f aca="false">F62/E62</f>
        <v>105.875</v>
      </c>
    </row>
    <row r="63" customFormat="false" ht="15" hidden="false" customHeight="true" outlineLevel="0" collapsed="false">
      <c r="A63" s="12" t="n">
        <v>46186</v>
      </c>
      <c r="B63" s="11" t="s">
        <v>48</v>
      </c>
      <c r="C63" s="11" t="s">
        <v>49</v>
      </c>
      <c r="D63" s="11" t="s">
        <v>51</v>
      </c>
      <c r="E63" s="11" t="n">
        <v>8</v>
      </c>
      <c r="F63" s="11" t="n">
        <v>905</v>
      </c>
      <c r="G63" s="11" t="n">
        <v>79</v>
      </c>
      <c r="H63" s="11" t="n">
        <v>1</v>
      </c>
      <c r="I63" s="11" t="n">
        <v>0</v>
      </c>
      <c r="J63" s="13" t="n">
        <f aca="false">F63/E63</f>
        <v>113.125</v>
      </c>
    </row>
    <row r="64" customFormat="false" ht="15" hidden="false" customHeight="true" outlineLevel="0" collapsed="false">
      <c r="A64" s="12" t="n">
        <v>46188</v>
      </c>
      <c r="B64" s="11" t="s">
        <v>48</v>
      </c>
      <c r="C64" s="11" t="s">
        <v>49</v>
      </c>
      <c r="D64" s="11" t="s">
        <v>51</v>
      </c>
      <c r="E64" s="11" t="n">
        <v>8</v>
      </c>
      <c r="F64" s="11" t="n">
        <v>882</v>
      </c>
      <c r="G64" s="11" t="n">
        <v>86</v>
      </c>
      <c r="H64" s="11" t="n">
        <v>0</v>
      </c>
      <c r="I64" s="11" t="n">
        <v>0</v>
      </c>
      <c r="J64" s="13" t="n">
        <f aca="false">F64/E64</f>
        <v>110.25</v>
      </c>
    </row>
    <row r="65" customFormat="false" ht="15" hidden="false" customHeight="true" outlineLevel="0" collapsed="false">
      <c r="A65" s="12" t="n">
        <v>46189</v>
      </c>
      <c r="B65" s="11" t="s">
        <v>48</v>
      </c>
      <c r="C65" s="11" t="s">
        <v>49</v>
      </c>
      <c r="D65" s="11" t="s">
        <v>51</v>
      </c>
      <c r="E65" s="11" t="n">
        <v>8</v>
      </c>
      <c r="F65" s="11" t="n">
        <v>881</v>
      </c>
      <c r="G65" s="11" t="n">
        <v>67</v>
      </c>
      <c r="H65" s="11" t="n">
        <v>1</v>
      </c>
      <c r="I65" s="11" t="n">
        <v>0</v>
      </c>
      <c r="J65" s="13" t="n">
        <f aca="false">F65/E65</f>
        <v>110.125</v>
      </c>
    </row>
    <row r="66" customFormat="false" ht="15" hidden="false" customHeight="true" outlineLevel="0" collapsed="false">
      <c r="A66" s="12" t="n">
        <v>46190</v>
      </c>
      <c r="B66" s="11" t="s">
        <v>48</v>
      </c>
      <c r="C66" s="11" t="s">
        <v>49</v>
      </c>
      <c r="D66" s="11" t="s">
        <v>51</v>
      </c>
      <c r="E66" s="11" t="n">
        <v>8</v>
      </c>
      <c r="F66" s="11" t="n">
        <v>880</v>
      </c>
      <c r="G66" s="11" t="n">
        <v>78</v>
      </c>
      <c r="H66" s="11" t="n">
        <v>1</v>
      </c>
      <c r="I66" s="11" t="n">
        <v>1</v>
      </c>
      <c r="J66" s="13" t="n">
        <f aca="false">F66/E66</f>
        <v>110</v>
      </c>
    </row>
    <row r="67" customFormat="false" ht="15" hidden="false" customHeight="true" outlineLevel="0" collapsed="false">
      <c r="A67" s="12" t="n">
        <v>46191</v>
      </c>
      <c r="B67" s="11" t="s">
        <v>48</v>
      </c>
      <c r="C67" s="11" t="s">
        <v>49</v>
      </c>
      <c r="D67" s="11" t="s">
        <v>51</v>
      </c>
      <c r="E67" s="11" t="n">
        <v>8</v>
      </c>
      <c r="F67" s="11" t="n">
        <v>830</v>
      </c>
      <c r="G67" s="11" t="n">
        <v>102</v>
      </c>
      <c r="H67" s="11" t="n">
        <v>1</v>
      </c>
      <c r="I67" s="11" t="n">
        <v>0</v>
      </c>
      <c r="J67" s="13" t="n">
        <f aca="false">F67/E67</f>
        <v>103.75</v>
      </c>
    </row>
    <row r="68" customFormat="false" ht="15" hidden="false" customHeight="true" outlineLevel="0" collapsed="false">
      <c r="A68" s="12" t="n">
        <v>46192</v>
      </c>
      <c r="B68" s="11" t="s">
        <v>48</v>
      </c>
      <c r="C68" s="11" t="s">
        <v>49</v>
      </c>
      <c r="D68" s="11" t="s">
        <v>51</v>
      </c>
      <c r="E68" s="11" t="n">
        <v>8</v>
      </c>
      <c r="F68" s="11" t="n">
        <v>825</v>
      </c>
      <c r="G68" s="11" t="n">
        <v>92</v>
      </c>
      <c r="H68" s="11" t="n">
        <v>1</v>
      </c>
      <c r="I68" s="11" t="n">
        <v>4</v>
      </c>
      <c r="J68" s="13" t="n">
        <f aca="false">F68/E68</f>
        <v>103.125</v>
      </c>
    </row>
    <row r="69" customFormat="false" ht="15" hidden="false" customHeight="true" outlineLevel="0" collapsed="false">
      <c r="A69" s="12" t="n">
        <v>46195</v>
      </c>
      <c r="B69" s="11" t="s">
        <v>48</v>
      </c>
      <c r="C69" s="11" t="s">
        <v>49</v>
      </c>
      <c r="D69" s="11" t="s">
        <v>51</v>
      </c>
      <c r="E69" s="11" t="n">
        <v>8</v>
      </c>
      <c r="F69" s="11" t="n">
        <v>764</v>
      </c>
      <c r="G69" s="11" t="n">
        <v>74</v>
      </c>
      <c r="H69" s="11" t="n">
        <v>1</v>
      </c>
      <c r="I69" s="11" t="n">
        <v>4</v>
      </c>
      <c r="J69" s="13" t="n">
        <f aca="false">F69/E69</f>
        <v>95.5</v>
      </c>
    </row>
    <row r="70" customFormat="false" ht="15" hidden="false" customHeight="true" outlineLevel="0" collapsed="false">
      <c r="A70" s="12" t="n">
        <v>46196</v>
      </c>
      <c r="B70" s="11" t="s">
        <v>48</v>
      </c>
      <c r="C70" s="11" t="s">
        <v>49</v>
      </c>
      <c r="D70" s="11" t="s">
        <v>51</v>
      </c>
      <c r="E70" s="11" t="n">
        <v>8</v>
      </c>
      <c r="F70" s="11" t="n">
        <v>782</v>
      </c>
      <c r="G70" s="11" t="n">
        <v>73</v>
      </c>
      <c r="H70" s="11" t="n">
        <v>0</v>
      </c>
      <c r="I70" s="11" t="n">
        <v>0</v>
      </c>
      <c r="J70" s="13" t="n">
        <f aca="false">F70/E70</f>
        <v>97.75</v>
      </c>
    </row>
    <row r="71" customFormat="false" ht="15" hidden="false" customHeight="true" outlineLevel="0" collapsed="false">
      <c r="A71" s="12" t="n">
        <v>46197</v>
      </c>
      <c r="B71" s="11" t="s">
        <v>48</v>
      </c>
      <c r="C71" s="11" t="s">
        <v>49</v>
      </c>
      <c r="D71" s="11" t="s">
        <v>51</v>
      </c>
      <c r="E71" s="11" t="n">
        <v>8</v>
      </c>
      <c r="F71" s="11" t="n">
        <v>794</v>
      </c>
      <c r="G71" s="11" t="n">
        <v>80</v>
      </c>
      <c r="H71" s="11" t="n">
        <v>1</v>
      </c>
      <c r="I71" s="11" t="n">
        <v>0</v>
      </c>
      <c r="J71" s="13" t="n">
        <f aca="false">F71/E71</f>
        <v>99.25</v>
      </c>
    </row>
    <row r="72" customFormat="false" ht="15" hidden="false" customHeight="true" outlineLevel="0" collapsed="false">
      <c r="A72" s="12" t="n">
        <v>46198</v>
      </c>
      <c r="B72" s="11" t="s">
        <v>48</v>
      </c>
      <c r="C72" s="11" t="s">
        <v>49</v>
      </c>
      <c r="D72" s="11" t="s">
        <v>51</v>
      </c>
      <c r="E72" s="11" t="n">
        <v>8</v>
      </c>
      <c r="F72" s="11" t="n">
        <v>880</v>
      </c>
      <c r="G72" s="11" t="n">
        <v>68</v>
      </c>
      <c r="H72" s="11" t="n">
        <v>1</v>
      </c>
      <c r="I72" s="11" t="n">
        <v>0</v>
      </c>
      <c r="J72" s="13" t="n">
        <f aca="false">F72/E72</f>
        <v>110</v>
      </c>
    </row>
    <row r="73" customFormat="false" ht="15" hidden="false" customHeight="true" outlineLevel="0" collapsed="false">
      <c r="A73" s="12" t="n">
        <v>46199</v>
      </c>
      <c r="B73" s="11" t="s">
        <v>48</v>
      </c>
      <c r="C73" s="11" t="s">
        <v>49</v>
      </c>
      <c r="D73" s="11" t="s">
        <v>51</v>
      </c>
      <c r="E73" s="11" t="n">
        <v>8</v>
      </c>
      <c r="F73" s="11" t="n">
        <v>846</v>
      </c>
      <c r="G73" s="11" t="n">
        <v>60</v>
      </c>
      <c r="H73" s="11" t="n">
        <v>1</v>
      </c>
      <c r="I73" s="11" t="n">
        <v>0</v>
      </c>
      <c r="J73" s="13" t="n">
        <f aca="false">F73/E73</f>
        <v>105.75</v>
      </c>
    </row>
    <row r="74" customFormat="false" ht="15" hidden="false" customHeight="true" outlineLevel="0" collapsed="false">
      <c r="A74" s="12" t="n">
        <v>46200</v>
      </c>
      <c r="B74" s="11" t="s">
        <v>48</v>
      </c>
      <c r="C74" s="11" t="s">
        <v>49</v>
      </c>
      <c r="D74" s="11" t="s">
        <v>51</v>
      </c>
      <c r="E74" s="11" t="n">
        <v>8</v>
      </c>
      <c r="F74" s="11" t="n">
        <v>885</v>
      </c>
      <c r="G74" s="11" t="n">
        <v>74</v>
      </c>
      <c r="H74" s="11" t="n">
        <v>1</v>
      </c>
      <c r="I74" s="11" t="n">
        <v>0</v>
      </c>
      <c r="J74" s="13" t="n">
        <f aca="false">F74/E74</f>
        <v>110.625</v>
      </c>
    </row>
    <row r="75" customFormat="false" ht="15" hidden="false" customHeight="true" outlineLevel="0" collapsed="false">
      <c r="A75" s="12" t="n">
        <v>46202</v>
      </c>
      <c r="B75" s="11" t="s">
        <v>48</v>
      </c>
      <c r="C75" s="11" t="s">
        <v>49</v>
      </c>
      <c r="D75" s="11" t="s">
        <v>51</v>
      </c>
      <c r="E75" s="11" t="n">
        <v>8</v>
      </c>
      <c r="F75" s="11" t="n">
        <v>792</v>
      </c>
      <c r="G75" s="11" t="n">
        <v>98</v>
      </c>
      <c r="H75" s="11" t="n">
        <v>1</v>
      </c>
      <c r="I75" s="11" t="n">
        <v>4</v>
      </c>
      <c r="J75" s="13" t="n">
        <f aca="false">F75/E75</f>
        <v>99</v>
      </c>
    </row>
    <row r="76" customFormat="false" ht="15" hidden="false" customHeight="true" outlineLevel="0" collapsed="false">
      <c r="A76" s="12" t="n">
        <v>46203</v>
      </c>
      <c r="B76" s="11" t="s">
        <v>48</v>
      </c>
      <c r="C76" s="11" t="s">
        <v>49</v>
      </c>
      <c r="D76" s="11" t="s">
        <v>51</v>
      </c>
      <c r="E76" s="11" t="n">
        <v>8</v>
      </c>
      <c r="F76" s="11" t="n">
        <v>850</v>
      </c>
      <c r="G76" s="11" t="n">
        <v>91</v>
      </c>
      <c r="H76" s="11" t="n">
        <v>1</v>
      </c>
      <c r="I76" s="11" t="n">
        <v>0</v>
      </c>
      <c r="J76" s="13" t="n">
        <f aca="false">F76/E76</f>
        <v>106.25</v>
      </c>
    </row>
    <row r="77" customFormat="false" ht="15" hidden="false" customHeight="true" outlineLevel="0" collapsed="false">
      <c r="A77" s="12" t="n">
        <v>46174</v>
      </c>
      <c r="B77" s="11" t="s">
        <v>53</v>
      </c>
      <c r="C77" s="11" t="s">
        <v>54</v>
      </c>
      <c r="D77" s="11" t="s">
        <v>51</v>
      </c>
      <c r="E77" s="11" t="n">
        <v>8</v>
      </c>
      <c r="F77" s="11" t="n">
        <v>471</v>
      </c>
      <c r="G77" s="11" t="n">
        <v>40</v>
      </c>
      <c r="H77" s="11" t="n">
        <v>2</v>
      </c>
      <c r="I77" s="11" t="n">
        <v>5</v>
      </c>
      <c r="J77" s="13" t="n">
        <f aca="false">F77/E77</f>
        <v>58.875</v>
      </c>
    </row>
    <row r="78" customFormat="false" ht="15" hidden="false" customHeight="true" outlineLevel="0" collapsed="false">
      <c r="A78" s="12" t="n">
        <v>46175</v>
      </c>
      <c r="B78" s="11" t="s">
        <v>53</v>
      </c>
      <c r="C78" s="11" t="s">
        <v>54</v>
      </c>
      <c r="D78" s="11" t="s">
        <v>51</v>
      </c>
      <c r="E78" s="11" t="n">
        <v>8</v>
      </c>
      <c r="F78" s="11" t="n">
        <v>618</v>
      </c>
      <c r="G78" s="11" t="n">
        <v>71</v>
      </c>
      <c r="H78" s="11" t="n">
        <v>2</v>
      </c>
      <c r="I78" s="11" t="n">
        <v>4</v>
      </c>
      <c r="J78" s="13" t="n">
        <f aca="false">F78/E78</f>
        <v>77.25</v>
      </c>
    </row>
    <row r="79" customFormat="false" ht="15" hidden="false" customHeight="true" outlineLevel="0" collapsed="false">
      <c r="A79" s="12" t="n">
        <v>46176</v>
      </c>
      <c r="B79" s="11" t="s">
        <v>53</v>
      </c>
      <c r="C79" s="11" t="s">
        <v>54</v>
      </c>
      <c r="D79" s="11" t="s">
        <v>51</v>
      </c>
      <c r="E79" s="11" t="n">
        <v>8</v>
      </c>
      <c r="F79" s="11" t="n">
        <v>616</v>
      </c>
      <c r="G79" s="11" t="n">
        <v>59</v>
      </c>
      <c r="H79" s="11" t="n">
        <v>3</v>
      </c>
      <c r="I79" s="11" t="n">
        <v>4</v>
      </c>
      <c r="J79" s="13" t="n">
        <f aca="false">F79/E79</f>
        <v>77</v>
      </c>
    </row>
    <row r="80" customFormat="false" ht="15" hidden="false" customHeight="true" outlineLevel="0" collapsed="false">
      <c r="A80" s="12" t="n">
        <v>46177</v>
      </c>
      <c r="B80" s="11" t="s">
        <v>53</v>
      </c>
      <c r="C80" s="11" t="s">
        <v>54</v>
      </c>
      <c r="D80" s="11" t="s">
        <v>51</v>
      </c>
      <c r="E80" s="11" t="n">
        <v>8</v>
      </c>
      <c r="F80" s="11" t="n">
        <v>555</v>
      </c>
      <c r="G80" s="11" t="n">
        <v>64</v>
      </c>
      <c r="H80" s="11" t="n">
        <v>3</v>
      </c>
      <c r="I80" s="11" t="n">
        <v>0</v>
      </c>
      <c r="J80" s="13" t="n">
        <f aca="false">F80/E80</f>
        <v>69.375</v>
      </c>
    </row>
    <row r="81" customFormat="false" ht="15" hidden="false" customHeight="true" outlineLevel="0" collapsed="false">
      <c r="A81" s="12" t="n">
        <v>46179</v>
      </c>
      <c r="B81" s="11" t="s">
        <v>53</v>
      </c>
      <c r="C81" s="11" t="s">
        <v>54</v>
      </c>
      <c r="D81" s="11" t="s">
        <v>51</v>
      </c>
      <c r="E81" s="11" t="n">
        <v>8</v>
      </c>
      <c r="F81" s="11" t="n">
        <v>550</v>
      </c>
      <c r="G81" s="11" t="n">
        <v>63</v>
      </c>
      <c r="H81" s="11" t="n">
        <v>3</v>
      </c>
      <c r="I81" s="11" t="n">
        <v>0</v>
      </c>
      <c r="J81" s="13" t="n">
        <f aca="false">F81/E81</f>
        <v>68.75</v>
      </c>
    </row>
    <row r="82" customFormat="false" ht="15" hidden="false" customHeight="true" outlineLevel="0" collapsed="false">
      <c r="A82" s="12" t="n">
        <v>46181</v>
      </c>
      <c r="B82" s="11" t="s">
        <v>53</v>
      </c>
      <c r="C82" s="11" t="s">
        <v>54</v>
      </c>
      <c r="D82" s="11" t="s">
        <v>51</v>
      </c>
      <c r="E82" s="11" t="n">
        <v>8</v>
      </c>
      <c r="F82" s="11" t="n">
        <v>504</v>
      </c>
      <c r="G82" s="11" t="n">
        <v>48</v>
      </c>
      <c r="H82" s="11" t="n">
        <v>2</v>
      </c>
      <c r="I82" s="11" t="n">
        <v>0</v>
      </c>
      <c r="J82" s="13" t="n">
        <f aca="false">F82/E82</f>
        <v>63</v>
      </c>
    </row>
    <row r="83" customFormat="false" ht="15" hidden="false" customHeight="true" outlineLevel="0" collapsed="false">
      <c r="A83" s="12" t="n">
        <v>46183</v>
      </c>
      <c r="B83" s="11" t="s">
        <v>53</v>
      </c>
      <c r="C83" s="11" t="s">
        <v>54</v>
      </c>
      <c r="D83" s="11" t="s">
        <v>51</v>
      </c>
      <c r="E83" s="11" t="n">
        <v>8</v>
      </c>
      <c r="F83" s="11" t="n">
        <v>502</v>
      </c>
      <c r="G83" s="11" t="n">
        <v>38</v>
      </c>
      <c r="H83" s="11" t="n">
        <v>2</v>
      </c>
      <c r="I83" s="11" t="n">
        <v>6</v>
      </c>
      <c r="J83" s="13" t="n">
        <f aca="false">F83/E83</f>
        <v>62.75</v>
      </c>
    </row>
    <row r="84" customFormat="false" ht="15" hidden="false" customHeight="true" outlineLevel="0" collapsed="false">
      <c r="A84" s="12" t="n">
        <v>46185</v>
      </c>
      <c r="B84" s="11" t="s">
        <v>53</v>
      </c>
      <c r="C84" s="11" t="s">
        <v>54</v>
      </c>
      <c r="D84" s="11" t="s">
        <v>51</v>
      </c>
      <c r="E84" s="11" t="n">
        <v>8</v>
      </c>
      <c r="F84" s="11" t="n">
        <v>557</v>
      </c>
      <c r="G84" s="11" t="n">
        <v>43</v>
      </c>
      <c r="H84" s="11" t="n">
        <v>2</v>
      </c>
      <c r="I84" s="11" t="n">
        <v>0</v>
      </c>
      <c r="J84" s="13" t="n">
        <f aca="false">F84/E84</f>
        <v>69.625</v>
      </c>
    </row>
    <row r="85" customFormat="false" ht="15" hidden="false" customHeight="true" outlineLevel="0" collapsed="false">
      <c r="A85" s="12" t="n">
        <v>46186</v>
      </c>
      <c r="B85" s="11" t="s">
        <v>53</v>
      </c>
      <c r="C85" s="11" t="s">
        <v>54</v>
      </c>
      <c r="D85" s="11" t="s">
        <v>51</v>
      </c>
      <c r="E85" s="11" t="n">
        <v>8</v>
      </c>
      <c r="F85" s="11" t="n">
        <v>575</v>
      </c>
      <c r="G85" s="11" t="n">
        <v>42</v>
      </c>
      <c r="H85" s="11" t="n">
        <v>2</v>
      </c>
      <c r="I85" s="11" t="n">
        <v>0</v>
      </c>
      <c r="J85" s="13" t="n">
        <f aca="false">F85/E85</f>
        <v>71.875</v>
      </c>
    </row>
    <row r="86" customFormat="false" ht="15" hidden="false" customHeight="true" outlineLevel="0" collapsed="false">
      <c r="A86" s="12" t="n">
        <v>46188</v>
      </c>
      <c r="B86" s="11" t="s">
        <v>53</v>
      </c>
      <c r="C86" s="11" t="s">
        <v>54</v>
      </c>
      <c r="D86" s="11" t="s">
        <v>51</v>
      </c>
      <c r="E86" s="11" t="n">
        <v>8</v>
      </c>
      <c r="F86" s="11" t="n">
        <v>539</v>
      </c>
      <c r="G86" s="11" t="n">
        <v>49</v>
      </c>
      <c r="H86" s="11" t="n">
        <v>2</v>
      </c>
      <c r="I86" s="11" t="n">
        <v>0</v>
      </c>
      <c r="J86" s="13" t="n">
        <f aca="false">F86/E86</f>
        <v>67.375</v>
      </c>
    </row>
    <row r="87" customFormat="false" ht="15" hidden="false" customHeight="true" outlineLevel="0" collapsed="false">
      <c r="A87" s="12" t="n">
        <v>46189</v>
      </c>
      <c r="B87" s="11" t="s">
        <v>53</v>
      </c>
      <c r="C87" s="11" t="s">
        <v>54</v>
      </c>
      <c r="D87" s="11" t="s">
        <v>51</v>
      </c>
      <c r="E87" s="11" t="n">
        <v>8</v>
      </c>
      <c r="F87" s="11" t="n">
        <v>490</v>
      </c>
      <c r="G87" s="11" t="n">
        <v>37</v>
      </c>
      <c r="H87" s="11" t="n">
        <v>2</v>
      </c>
      <c r="I87" s="11" t="n">
        <v>5</v>
      </c>
      <c r="J87" s="13" t="n">
        <f aca="false">F87/E87</f>
        <v>61.25</v>
      </c>
    </row>
    <row r="88" customFormat="false" ht="15" hidden="false" customHeight="true" outlineLevel="0" collapsed="false">
      <c r="A88" s="12" t="n">
        <v>46190</v>
      </c>
      <c r="B88" s="11" t="s">
        <v>53</v>
      </c>
      <c r="C88" s="11" t="s">
        <v>54</v>
      </c>
      <c r="D88" s="11" t="s">
        <v>51</v>
      </c>
      <c r="E88" s="11" t="n">
        <v>7.4</v>
      </c>
      <c r="F88" s="11" t="n">
        <v>448</v>
      </c>
      <c r="G88" s="11" t="n">
        <v>42</v>
      </c>
      <c r="H88" s="11" t="n">
        <v>2</v>
      </c>
      <c r="I88" s="11" t="n">
        <v>0</v>
      </c>
      <c r="J88" s="13" t="n">
        <f aca="false">F88/E88</f>
        <v>60.5405405405405</v>
      </c>
    </row>
    <row r="89" customFormat="false" ht="15" hidden="false" customHeight="true" outlineLevel="0" collapsed="false">
      <c r="A89" s="12" t="n">
        <v>46191</v>
      </c>
      <c r="B89" s="11" t="s">
        <v>53</v>
      </c>
      <c r="C89" s="11" t="s">
        <v>54</v>
      </c>
      <c r="D89" s="11" t="s">
        <v>51</v>
      </c>
      <c r="E89" s="11" t="n">
        <v>8</v>
      </c>
      <c r="F89" s="11" t="n">
        <v>446</v>
      </c>
      <c r="G89" s="11" t="n">
        <v>34</v>
      </c>
      <c r="H89" s="11" t="n">
        <v>1</v>
      </c>
      <c r="I89" s="11" t="n">
        <v>5</v>
      </c>
      <c r="J89" s="13" t="n">
        <f aca="false">F89/E89</f>
        <v>55.75</v>
      </c>
    </row>
    <row r="90" customFormat="false" ht="15" hidden="false" customHeight="true" outlineLevel="0" collapsed="false">
      <c r="A90" s="12" t="n">
        <v>46192</v>
      </c>
      <c r="B90" s="11" t="s">
        <v>53</v>
      </c>
      <c r="C90" s="11" t="s">
        <v>54</v>
      </c>
      <c r="D90" s="11" t="s">
        <v>51</v>
      </c>
      <c r="E90" s="11" t="n">
        <v>8</v>
      </c>
      <c r="F90" s="11" t="n">
        <v>502</v>
      </c>
      <c r="G90" s="11" t="n">
        <v>38</v>
      </c>
      <c r="H90" s="11" t="n">
        <v>2</v>
      </c>
      <c r="I90" s="11" t="n">
        <v>0</v>
      </c>
      <c r="J90" s="13" t="n">
        <f aca="false">F90/E90</f>
        <v>62.75</v>
      </c>
    </row>
    <row r="91" customFormat="false" ht="15" hidden="false" customHeight="true" outlineLevel="0" collapsed="false">
      <c r="A91" s="12" t="n">
        <v>46195</v>
      </c>
      <c r="B91" s="11" t="s">
        <v>53</v>
      </c>
      <c r="C91" s="11" t="s">
        <v>54</v>
      </c>
      <c r="D91" s="11" t="s">
        <v>51</v>
      </c>
      <c r="E91" s="11" t="n">
        <v>8</v>
      </c>
      <c r="F91" s="11" t="n">
        <v>614</v>
      </c>
      <c r="G91" s="11" t="n">
        <v>72</v>
      </c>
      <c r="H91" s="11" t="n">
        <v>3</v>
      </c>
      <c r="I91" s="11" t="n">
        <v>0</v>
      </c>
      <c r="J91" s="13" t="n">
        <f aca="false">F91/E91</f>
        <v>76.75</v>
      </c>
    </row>
    <row r="92" customFormat="false" ht="15" hidden="false" customHeight="true" outlineLevel="0" collapsed="false">
      <c r="A92" s="12" t="n">
        <v>46196</v>
      </c>
      <c r="B92" s="11" t="s">
        <v>53</v>
      </c>
      <c r="C92" s="11" t="s">
        <v>54</v>
      </c>
      <c r="D92" s="11" t="s">
        <v>51</v>
      </c>
      <c r="E92" s="11" t="n">
        <v>8</v>
      </c>
      <c r="F92" s="11" t="n">
        <v>579</v>
      </c>
      <c r="G92" s="11" t="n">
        <v>48</v>
      </c>
      <c r="H92" s="11" t="n">
        <v>2</v>
      </c>
      <c r="I92" s="11" t="n">
        <v>0</v>
      </c>
      <c r="J92" s="13" t="n">
        <f aca="false">F92/E92</f>
        <v>72.375</v>
      </c>
    </row>
    <row r="93" customFormat="false" ht="15" hidden="false" customHeight="true" outlineLevel="0" collapsed="false">
      <c r="A93" s="12" t="n">
        <v>46197</v>
      </c>
      <c r="B93" s="11" t="s">
        <v>53</v>
      </c>
      <c r="C93" s="11" t="s">
        <v>54</v>
      </c>
      <c r="D93" s="11" t="s">
        <v>51</v>
      </c>
      <c r="E93" s="11" t="n">
        <v>8</v>
      </c>
      <c r="F93" s="11" t="n">
        <v>586</v>
      </c>
      <c r="G93" s="11" t="n">
        <v>68</v>
      </c>
      <c r="H93" s="11" t="n">
        <v>2</v>
      </c>
      <c r="I93" s="11" t="n">
        <v>0</v>
      </c>
      <c r="J93" s="13" t="n">
        <f aca="false">F93/E93</f>
        <v>73.25</v>
      </c>
    </row>
    <row r="94" customFormat="false" ht="15" hidden="false" customHeight="true" outlineLevel="0" collapsed="false">
      <c r="A94" s="12" t="n">
        <v>46198</v>
      </c>
      <c r="B94" s="11" t="s">
        <v>53</v>
      </c>
      <c r="C94" s="11" t="s">
        <v>54</v>
      </c>
      <c r="D94" s="11" t="s">
        <v>51</v>
      </c>
      <c r="E94" s="11" t="n">
        <v>8</v>
      </c>
      <c r="F94" s="11" t="n">
        <v>496</v>
      </c>
      <c r="G94" s="11" t="n">
        <v>43</v>
      </c>
      <c r="H94" s="11" t="n">
        <v>2</v>
      </c>
      <c r="I94" s="11" t="n">
        <v>0</v>
      </c>
      <c r="J94" s="13" t="n">
        <f aca="false">F94/E94</f>
        <v>62</v>
      </c>
    </row>
    <row r="95" customFormat="false" ht="15" hidden="false" customHeight="true" outlineLevel="0" collapsed="false">
      <c r="A95" s="12" t="n">
        <v>46199</v>
      </c>
      <c r="B95" s="11" t="s">
        <v>53</v>
      </c>
      <c r="C95" s="11" t="s">
        <v>54</v>
      </c>
      <c r="D95" s="11" t="s">
        <v>51</v>
      </c>
      <c r="E95" s="11" t="n">
        <v>7.2</v>
      </c>
      <c r="F95" s="11" t="n">
        <v>467</v>
      </c>
      <c r="G95" s="11" t="n">
        <v>37</v>
      </c>
      <c r="H95" s="11" t="n">
        <v>1</v>
      </c>
      <c r="I95" s="11" t="n">
        <v>0</v>
      </c>
      <c r="J95" s="13" t="n">
        <f aca="false">F95/E95</f>
        <v>64.8611111111111</v>
      </c>
    </row>
    <row r="96" customFormat="false" ht="15" hidden="false" customHeight="true" outlineLevel="0" collapsed="false">
      <c r="A96" s="12" t="n">
        <v>46200</v>
      </c>
      <c r="B96" s="11" t="s">
        <v>53</v>
      </c>
      <c r="C96" s="11" t="s">
        <v>54</v>
      </c>
      <c r="D96" s="11" t="s">
        <v>51</v>
      </c>
      <c r="E96" s="11" t="n">
        <v>8</v>
      </c>
      <c r="F96" s="11" t="n">
        <v>490</v>
      </c>
      <c r="G96" s="11" t="n">
        <v>52</v>
      </c>
      <c r="H96" s="11" t="n">
        <v>2</v>
      </c>
      <c r="I96" s="11" t="n">
        <v>1</v>
      </c>
      <c r="J96" s="13" t="n">
        <f aca="false">F96/E96</f>
        <v>61.25</v>
      </c>
    </row>
    <row r="97" customFormat="false" ht="15" hidden="false" customHeight="true" outlineLevel="0" collapsed="false">
      <c r="A97" s="12" t="n">
        <v>46202</v>
      </c>
      <c r="B97" s="11" t="s">
        <v>53</v>
      </c>
      <c r="C97" s="11" t="s">
        <v>54</v>
      </c>
      <c r="D97" s="11" t="s">
        <v>51</v>
      </c>
      <c r="E97" s="11" t="n">
        <v>8</v>
      </c>
      <c r="F97" s="11" t="n">
        <v>538</v>
      </c>
      <c r="G97" s="11" t="n">
        <v>43</v>
      </c>
      <c r="H97" s="11" t="n">
        <v>1</v>
      </c>
      <c r="I97" s="11" t="n">
        <v>3</v>
      </c>
      <c r="J97" s="13" t="n">
        <f aca="false">F97/E97</f>
        <v>67.25</v>
      </c>
    </row>
    <row r="98" customFormat="false" ht="15" hidden="false" customHeight="true" outlineLevel="0" collapsed="false">
      <c r="A98" s="12" t="n">
        <v>46174</v>
      </c>
      <c r="B98" s="11" t="s">
        <v>56</v>
      </c>
      <c r="C98" s="11" t="s">
        <v>57</v>
      </c>
      <c r="D98" s="11" t="s">
        <v>42</v>
      </c>
      <c r="E98" s="11" t="n">
        <v>8</v>
      </c>
      <c r="F98" s="11" t="n">
        <v>716</v>
      </c>
      <c r="G98" s="11" t="n">
        <v>52</v>
      </c>
      <c r="H98" s="11" t="n">
        <v>1</v>
      </c>
      <c r="I98" s="11" t="n">
        <v>1</v>
      </c>
      <c r="J98" s="13" t="n">
        <f aca="false">F98/E98</f>
        <v>89.5</v>
      </c>
    </row>
    <row r="99" customFormat="false" ht="15" hidden="false" customHeight="true" outlineLevel="0" collapsed="false">
      <c r="A99" s="12" t="n">
        <v>46175</v>
      </c>
      <c r="B99" s="11" t="s">
        <v>56</v>
      </c>
      <c r="C99" s="11" t="s">
        <v>57</v>
      </c>
      <c r="D99" s="11" t="s">
        <v>42</v>
      </c>
      <c r="E99" s="11" t="n">
        <v>7</v>
      </c>
      <c r="F99" s="11" t="n">
        <v>552</v>
      </c>
      <c r="G99" s="11" t="n">
        <v>59</v>
      </c>
      <c r="H99" s="11" t="n">
        <v>1</v>
      </c>
      <c r="I99" s="11" t="n">
        <v>3</v>
      </c>
      <c r="J99" s="13" t="n">
        <f aca="false">F99/E99</f>
        <v>78.8571428571429</v>
      </c>
    </row>
    <row r="100" customFormat="false" ht="15" hidden="false" customHeight="true" outlineLevel="0" collapsed="false">
      <c r="A100" s="12" t="n">
        <v>46176</v>
      </c>
      <c r="B100" s="11" t="s">
        <v>56</v>
      </c>
      <c r="C100" s="11" t="s">
        <v>57</v>
      </c>
      <c r="D100" s="11" t="s">
        <v>42</v>
      </c>
      <c r="E100" s="11" t="n">
        <v>8</v>
      </c>
      <c r="F100" s="11" t="n">
        <v>644</v>
      </c>
      <c r="G100" s="11" t="n">
        <v>47</v>
      </c>
      <c r="H100" s="11" t="n">
        <v>1</v>
      </c>
      <c r="I100" s="11" t="n">
        <v>0</v>
      </c>
      <c r="J100" s="13" t="n">
        <f aca="false">F100/E100</f>
        <v>80.5</v>
      </c>
    </row>
    <row r="101" customFormat="false" ht="15" hidden="false" customHeight="true" outlineLevel="0" collapsed="false">
      <c r="A101" s="12" t="n">
        <v>46177</v>
      </c>
      <c r="B101" s="11" t="s">
        <v>56</v>
      </c>
      <c r="C101" s="11" t="s">
        <v>57</v>
      </c>
      <c r="D101" s="11" t="s">
        <v>42</v>
      </c>
      <c r="E101" s="11" t="n">
        <v>8</v>
      </c>
      <c r="F101" s="11" t="n">
        <v>620</v>
      </c>
      <c r="G101" s="11" t="n">
        <v>47</v>
      </c>
      <c r="H101" s="11" t="n">
        <v>1</v>
      </c>
      <c r="I101" s="11" t="n">
        <v>0</v>
      </c>
      <c r="J101" s="13" t="n">
        <f aca="false">F101/E101</f>
        <v>77.5</v>
      </c>
    </row>
    <row r="102" customFormat="false" ht="15" hidden="false" customHeight="true" outlineLevel="0" collapsed="false">
      <c r="A102" s="12" t="n">
        <v>46178</v>
      </c>
      <c r="B102" s="11" t="s">
        <v>56</v>
      </c>
      <c r="C102" s="11" t="s">
        <v>57</v>
      </c>
      <c r="D102" s="11" t="s">
        <v>42</v>
      </c>
      <c r="E102" s="11" t="n">
        <v>8</v>
      </c>
      <c r="F102" s="11" t="n">
        <v>692</v>
      </c>
      <c r="G102" s="11" t="n">
        <v>64</v>
      </c>
      <c r="H102" s="11" t="n">
        <v>1</v>
      </c>
      <c r="I102" s="11" t="n">
        <v>0</v>
      </c>
      <c r="J102" s="13" t="n">
        <f aca="false">F102/E102</f>
        <v>86.5</v>
      </c>
    </row>
    <row r="103" customFormat="false" ht="15" hidden="false" customHeight="true" outlineLevel="0" collapsed="false">
      <c r="A103" s="12" t="n">
        <v>46179</v>
      </c>
      <c r="B103" s="11" t="s">
        <v>56</v>
      </c>
      <c r="C103" s="11" t="s">
        <v>57</v>
      </c>
      <c r="D103" s="11" t="s">
        <v>42</v>
      </c>
      <c r="E103" s="11" t="n">
        <v>8</v>
      </c>
      <c r="F103" s="11" t="n">
        <v>750</v>
      </c>
      <c r="G103" s="11" t="n">
        <v>69</v>
      </c>
      <c r="H103" s="11" t="n">
        <v>2</v>
      </c>
      <c r="I103" s="11" t="n">
        <v>0</v>
      </c>
      <c r="J103" s="13" t="n">
        <f aca="false">F103/E103</f>
        <v>93.75</v>
      </c>
    </row>
    <row r="104" customFormat="false" ht="15" hidden="false" customHeight="true" outlineLevel="0" collapsed="false">
      <c r="A104" s="12" t="n">
        <v>46181</v>
      </c>
      <c r="B104" s="11" t="s">
        <v>56</v>
      </c>
      <c r="C104" s="11" t="s">
        <v>57</v>
      </c>
      <c r="D104" s="11" t="s">
        <v>42</v>
      </c>
      <c r="E104" s="11" t="n">
        <v>8</v>
      </c>
      <c r="F104" s="11" t="n">
        <v>612</v>
      </c>
      <c r="G104" s="11" t="n">
        <v>52</v>
      </c>
      <c r="H104" s="11" t="n">
        <v>1</v>
      </c>
      <c r="I104" s="11" t="n">
        <v>3</v>
      </c>
      <c r="J104" s="13" t="n">
        <f aca="false">F104/E104</f>
        <v>76.5</v>
      </c>
    </row>
    <row r="105" customFormat="false" ht="15" hidden="false" customHeight="true" outlineLevel="0" collapsed="false">
      <c r="A105" s="12" t="n">
        <v>46182</v>
      </c>
      <c r="B105" s="11" t="s">
        <v>56</v>
      </c>
      <c r="C105" s="11" t="s">
        <v>57</v>
      </c>
      <c r="D105" s="11" t="s">
        <v>42</v>
      </c>
      <c r="E105" s="11" t="n">
        <v>8</v>
      </c>
      <c r="F105" s="11" t="n">
        <v>649</v>
      </c>
      <c r="G105" s="11" t="n">
        <v>46</v>
      </c>
      <c r="H105" s="11" t="n">
        <v>1</v>
      </c>
      <c r="I105" s="11" t="n">
        <v>0</v>
      </c>
      <c r="J105" s="13" t="n">
        <f aca="false">F105/E105</f>
        <v>81.125</v>
      </c>
    </row>
    <row r="106" customFormat="false" ht="15" hidden="false" customHeight="true" outlineLevel="0" collapsed="false">
      <c r="A106" s="12" t="n">
        <v>46183</v>
      </c>
      <c r="B106" s="11" t="s">
        <v>56</v>
      </c>
      <c r="C106" s="11" t="s">
        <v>57</v>
      </c>
      <c r="D106" s="11" t="s">
        <v>42</v>
      </c>
      <c r="E106" s="11" t="n">
        <v>8</v>
      </c>
      <c r="F106" s="11" t="n">
        <v>697</v>
      </c>
      <c r="G106" s="11" t="n">
        <v>55</v>
      </c>
      <c r="H106" s="11" t="n">
        <v>1</v>
      </c>
      <c r="I106" s="11" t="n">
        <v>0</v>
      </c>
      <c r="J106" s="13" t="n">
        <f aca="false">F106/E106</f>
        <v>87.125</v>
      </c>
    </row>
    <row r="107" customFormat="false" ht="15" hidden="false" customHeight="true" outlineLevel="0" collapsed="false">
      <c r="A107" s="12" t="n">
        <v>46184</v>
      </c>
      <c r="B107" s="11" t="s">
        <v>56</v>
      </c>
      <c r="C107" s="11" t="s">
        <v>57</v>
      </c>
      <c r="D107" s="11" t="s">
        <v>42</v>
      </c>
      <c r="E107" s="11" t="n">
        <v>7.3</v>
      </c>
      <c r="F107" s="11" t="n">
        <v>613</v>
      </c>
      <c r="G107" s="11" t="n">
        <v>58</v>
      </c>
      <c r="H107" s="11" t="n">
        <v>2</v>
      </c>
      <c r="I107" s="11" t="n">
        <v>0</v>
      </c>
      <c r="J107" s="13" t="n">
        <f aca="false">F107/E107</f>
        <v>83.972602739726</v>
      </c>
    </row>
    <row r="108" customFormat="false" ht="15" hidden="false" customHeight="true" outlineLevel="0" collapsed="false">
      <c r="A108" s="12" t="n">
        <v>46185</v>
      </c>
      <c r="B108" s="11" t="s">
        <v>56</v>
      </c>
      <c r="C108" s="11" t="s">
        <v>57</v>
      </c>
      <c r="D108" s="11" t="s">
        <v>42</v>
      </c>
      <c r="E108" s="11" t="n">
        <v>8</v>
      </c>
      <c r="F108" s="11" t="n">
        <v>649</v>
      </c>
      <c r="G108" s="11" t="n">
        <v>55</v>
      </c>
      <c r="H108" s="11" t="n">
        <v>1</v>
      </c>
      <c r="I108" s="11" t="n">
        <v>0</v>
      </c>
      <c r="J108" s="13" t="n">
        <f aca="false">F108/E108</f>
        <v>81.125</v>
      </c>
    </row>
    <row r="109" customFormat="false" ht="15" hidden="false" customHeight="true" outlineLevel="0" collapsed="false">
      <c r="A109" s="12" t="n">
        <v>46186</v>
      </c>
      <c r="B109" s="11" t="s">
        <v>56</v>
      </c>
      <c r="C109" s="11" t="s">
        <v>57</v>
      </c>
      <c r="D109" s="11" t="s">
        <v>42</v>
      </c>
      <c r="E109" s="11" t="n">
        <v>7.5</v>
      </c>
      <c r="F109" s="11" t="n">
        <v>705</v>
      </c>
      <c r="G109" s="11" t="n">
        <v>76</v>
      </c>
      <c r="H109" s="11" t="n">
        <v>1</v>
      </c>
      <c r="I109" s="11" t="n">
        <v>0</v>
      </c>
      <c r="J109" s="13" t="n">
        <f aca="false">F109/E109</f>
        <v>94</v>
      </c>
    </row>
    <row r="110" customFormat="false" ht="15" hidden="false" customHeight="true" outlineLevel="0" collapsed="false">
      <c r="A110" s="12" t="n">
        <v>46188</v>
      </c>
      <c r="B110" s="11" t="s">
        <v>56</v>
      </c>
      <c r="C110" s="11" t="s">
        <v>57</v>
      </c>
      <c r="D110" s="11" t="s">
        <v>42</v>
      </c>
      <c r="E110" s="11" t="n">
        <v>7.6</v>
      </c>
      <c r="F110" s="11" t="n">
        <v>594</v>
      </c>
      <c r="G110" s="11" t="n">
        <v>66</v>
      </c>
      <c r="H110" s="11" t="n">
        <v>1</v>
      </c>
      <c r="I110" s="11" t="n">
        <v>3</v>
      </c>
      <c r="J110" s="13" t="n">
        <f aca="false">F110/E110</f>
        <v>78.1578947368421</v>
      </c>
    </row>
    <row r="111" customFormat="false" ht="15" hidden="false" customHeight="true" outlineLevel="0" collapsed="false">
      <c r="A111" s="12" t="n">
        <v>46189</v>
      </c>
      <c r="B111" s="11" t="s">
        <v>56</v>
      </c>
      <c r="C111" s="11" t="s">
        <v>57</v>
      </c>
      <c r="D111" s="11" t="s">
        <v>42</v>
      </c>
      <c r="E111" s="11" t="n">
        <v>8</v>
      </c>
      <c r="F111" s="11" t="n">
        <v>695</v>
      </c>
      <c r="G111" s="11" t="n">
        <v>71</v>
      </c>
      <c r="H111" s="11" t="n">
        <v>1</v>
      </c>
      <c r="I111" s="11" t="n">
        <v>0</v>
      </c>
      <c r="J111" s="13" t="n">
        <f aca="false">F111/E111</f>
        <v>86.875</v>
      </c>
    </row>
    <row r="112" customFormat="false" ht="15" hidden="false" customHeight="true" outlineLevel="0" collapsed="false">
      <c r="A112" s="12" t="n">
        <v>46190</v>
      </c>
      <c r="B112" s="11" t="s">
        <v>56</v>
      </c>
      <c r="C112" s="11" t="s">
        <v>57</v>
      </c>
      <c r="D112" s="11" t="s">
        <v>42</v>
      </c>
      <c r="E112" s="11" t="n">
        <v>8</v>
      </c>
      <c r="F112" s="11" t="n">
        <v>713</v>
      </c>
      <c r="G112" s="11" t="n">
        <v>66</v>
      </c>
      <c r="H112" s="11" t="n">
        <v>2</v>
      </c>
      <c r="I112" s="11" t="n">
        <v>0</v>
      </c>
      <c r="J112" s="13" t="n">
        <f aca="false">F112/E112</f>
        <v>89.125</v>
      </c>
    </row>
    <row r="113" customFormat="false" ht="15" hidden="false" customHeight="true" outlineLevel="0" collapsed="false">
      <c r="A113" s="12" t="n">
        <v>46191</v>
      </c>
      <c r="B113" s="11" t="s">
        <v>56</v>
      </c>
      <c r="C113" s="11" t="s">
        <v>57</v>
      </c>
      <c r="D113" s="11" t="s">
        <v>42</v>
      </c>
      <c r="E113" s="11" t="n">
        <v>8</v>
      </c>
      <c r="F113" s="11" t="n">
        <v>726</v>
      </c>
      <c r="G113" s="11" t="n">
        <v>62</v>
      </c>
      <c r="H113" s="11" t="n">
        <v>2</v>
      </c>
      <c r="I113" s="11" t="n">
        <v>0</v>
      </c>
      <c r="J113" s="13" t="n">
        <f aca="false">F113/E113</f>
        <v>90.75</v>
      </c>
    </row>
    <row r="114" customFormat="false" ht="15" hidden="false" customHeight="true" outlineLevel="0" collapsed="false">
      <c r="A114" s="12" t="n">
        <v>46192</v>
      </c>
      <c r="B114" s="11" t="s">
        <v>56</v>
      </c>
      <c r="C114" s="11" t="s">
        <v>57</v>
      </c>
      <c r="D114" s="11" t="s">
        <v>42</v>
      </c>
      <c r="E114" s="11" t="n">
        <v>8</v>
      </c>
      <c r="F114" s="11" t="n">
        <v>668</v>
      </c>
      <c r="G114" s="11" t="n">
        <v>59</v>
      </c>
      <c r="H114" s="11" t="n">
        <v>1</v>
      </c>
      <c r="I114" s="11" t="n">
        <v>0</v>
      </c>
      <c r="J114" s="13" t="n">
        <f aca="false">F114/E114</f>
        <v>83.5</v>
      </c>
    </row>
    <row r="115" customFormat="false" ht="15" hidden="false" customHeight="true" outlineLevel="0" collapsed="false">
      <c r="A115" s="12" t="n">
        <v>46195</v>
      </c>
      <c r="B115" s="11" t="s">
        <v>56</v>
      </c>
      <c r="C115" s="11" t="s">
        <v>57</v>
      </c>
      <c r="D115" s="11" t="s">
        <v>42</v>
      </c>
      <c r="E115" s="11" t="n">
        <v>8</v>
      </c>
      <c r="F115" s="11" t="n">
        <v>732</v>
      </c>
      <c r="G115" s="11" t="n">
        <v>87</v>
      </c>
      <c r="H115" s="11" t="n">
        <v>2</v>
      </c>
      <c r="I115" s="11" t="n">
        <v>4</v>
      </c>
      <c r="J115" s="13" t="n">
        <f aca="false">F115/E115</f>
        <v>91.5</v>
      </c>
    </row>
    <row r="116" customFormat="false" ht="15" hidden="false" customHeight="true" outlineLevel="0" collapsed="false">
      <c r="A116" s="12" t="n">
        <v>46196</v>
      </c>
      <c r="B116" s="11" t="s">
        <v>56</v>
      </c>
      <c r="C116" s="11" t="s">
        <v>57</v>
      </c>
      <c r="D116" s="11" t="s">
        <v>42</v>
      </c>
      <c r="E116" s="11" t="n">
        <v>8</v>
      </c>
      <c r="F116" s="11" t="n">
        <v>691</v>
      </c>
      <c r="G116" s="11" t="n">
        <v>71</v>
      </c>
      <c r="H116" s="11" t="n">
        <v>1</v>
      </c>
      <c r="I116" s="11" t="n">
        <v>0</v>
      </c>
      <c r="J116" s="13" t="n">
        <f aca="false">F116/E116</f>
        <v>86.375</v>
      </c>
    </row>
    <row r="117" customFormat="false" ht="15" hidden="false" customHeight="true" outlineLevel="0" collapsed="false">
      <c r="A117" s="12" t="n">
        <v>46197</v>
      </c>
      <c r="B117" s="11" t="s">
        <v>56</v>
      </c>
      <c r="C117" s="11" t="s">
        <v>57</v>
      </c>
      <c r="D117" s="11" t="s">
        <v>42</v>
      </c>
      <c r="E117" s="11" t="n">
        <v>7.8</v>
      </c>
      <c r="F117" s="11" t="n">
        <v>694</v>
      </c>
      <c r="G117" s="11" t="n">
        <v>51</v>
      </c>
      <c r="H117" s="11" t="n">
        <v>1</v>
      </c>
      <c r="I117" s="11" t="n">
        <v>0</v>
      </c>
      <c r="J117" s="13" t="n">
        <f aca="false">F117/E117</f>
        <v>88.974358974359</v>
      </c>
    </row>
    <row r="118" customFormat="false" ht="15" hidden="false" customHeight="true" outlineLevel="0" collapsed="false">
      <c r="A118" s="12" t="n">
        <v>46198</v>
      </c>
      <c r="B118" s="11" t="s">
        <v>56</v>
      </c>
      <c r="C118" s="11" t="s">
        <v>57</v>
      </c>
      <c r="D118" s="11" t="s">
        <v>42</v>
      </c>
      <c r="E118" s="11" t="n">
        <v>8</v>
      </c>
      <c r="F118" s="11" t="n">
        <v>613</v>
      </c>
      <c r="G118" s="11" t="n">
        <v>74</v>
      </c>
      <c r="H118" s="11" t="n">
        <v>2</v>
      </c>
      <c r="I118" s="11" t="n">
        <v>2</v>
      </c>
      <c r="J118" s="13" t="n">
        <f aca="false">F118/E118</f>
        <v>76.625</v>
      </c>
    </row>
    <row r="119" customFormat="false" ht="15" hidden="false" customHeight="true" outlineLevel="0" collapsed="false">
      <c r="A119" s="12" t="n">
        <v>46199</v>
      </c>
      <c r="B119" s="11" t="s">
        <v>56</v>
      </c>
      <c r="C119" s="11" t="s">
        <v>57</v>
      </c>
      <c r="D119" s="11" t="s">
        <v>42</v>
      </c>
      <c r="E119" s="11" t="n">
        <v>8</v>
      </c>
      <c r="F119" s="11" t="n">
        <v>614</v>
      </c>
      <c r="G119" s="11" t="n">
        <v>45</v>
      </c>
      <c r="H119" s="11" t="n">
        <v>1</v>
      </c>
      <c r="I119" s="11" t="n">
        <v>0</v>
      </c>
      <c r="J119" s="13" t="n">
        <f aca="false">F119/E119</f>
        <v>76.75</v>
      </c>
    </row>
    <row r="120" customFormat="false" ht="15" hidden="false" customHeight="true" outlineLevel="0" collapsed="false">
      <c r="A120" s="12" t="n">
        <v>46200</v>
      </c>
      <c r="B120" s="11" t="s">
        <v>56</v>
      </c>
      <c r="C120" s="11" t="s">
        <v>57</v>
      </c>
      <c r="D120" s="11" t="s">
        <v>42</v>
      </c>
      <c r="E120" s="11" t="n">
        <v>8</v>
      </c>
      <c r="F120" s="11" t="n">
        <v>752</v>
      </c>
      <c r="G120" s="11" t="n">
        <v>54</v>
      </c>
      <c r="H120" s="11" t="n">
        <v>1</v>
      </c>
      <c r="I120" s="11" t="n">
        <v>0</v>
      </c>
      <c r="J120" s="13" t="n">
        <f aca="false">F120/E120</f>
        <v>94</v>
      </c>
    </row>
    <row r="121" customFormat="false" ht="15" hidden="false" customHeight="true" outlineLevel="0" collapsed="false">
      <c r="A121" s="12" t="n">
        <v>46202</v>
      </c>
      <c r="B121" s="11" t="s">
        <v>56</v>
      </c>
      <c r="C121" s="11" t="s">
        <v>57</v>
      </c>
      <c r="D121" s="11" t="s">
        <v>42</v>
      </c>
      <c r="E121" s="11" t="n">
        <v>8</v>
      </c>
      <c r="F121" s="11" t="n">
        <v>721</v>
      </c>
      <c r="G121" s="11" t="n">
        <v>67</v>
      </c>
      <c r="H121" s="11" t="n">
        <v>2</v>
      </c>
      <c r="I121" s="11" t="n">
        <v>0</v>
      </c>
      <c r="J121" s="13" t="n">
        <f aca="false">F121/E121</f>
        <v>90.125</v>
      </c>
    </row>
    <row r="122" customFormat="false" ht="15" hidden="false" customHeight="true" outlineLevel="0" collapsed="false">
      <c r="A122" s="12" t="n">
        <v>46203</v>
      </c>
      <c r="B122" s="11" t="s">
        <v>56</v>
      </c>
      <c r="C122" s="11" t="s">
        <v>57</v>
      </c>
      <c r="D122" s="11" t="s">
        <v>42</v>
      </c>
      <c r="E122" s="11" t="n">
        <v>8</v>
      </c>
      <c r="F122" s="11" t="n">
        <v>629</v>
      </c>
      <c r="G122" s="11" t="n">
        <v>55</v>
      </c>
      <c r="H122" s="11" t="n">
        <v>1</v>
      </c>
      <c r="I122" s="11" t="n">
        <v>0</v>
      </c>
      <c r="J122" s="13" t="n">
        <f aca="false">F122/E122</f>
        <v>78.625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3"/>
  </cols>
  <sheetData>
    <row r="1" customFormat="false" ht="23.25" hidden="false" customHeight="true" outlineLevel="0" collapsed="false">
      <c r="A1" s="6" t="s">
        <v>59</v>
      </c>
      <c r="B1" s="6" t="s">
        <v>16</v>
      </c>
      <c r="C1" s="6" t="s">
        <v>17</v>
      </c>
      <c r="D1" s="6" t="s">
        <v>66</v>
      </c>
      <c r="E1" s="6" t="s">
        <v>60</v>
      </c>
      <c r="F1" s="6" t="s">
        <v>67</v>
      </c>
      <c r="G1" s="6" t="s">
        <v>68</v>
      </c>
    </row>
    <row r="2" customFormat="false" ht="15" hidden="false" customHeight="true" outlineLevel="0" collapsed="false">
      <c r="A2" s="12" t="n">
        <v>46174</v>
      </c>
      <c r="B2" s="11" t="s">
        <v>39</v>
      </c>
      <c r="C2" s="11" t="s">
        <v>40</v>
      </c>
      <c r="D2" s="11" t="s">
        <v>69</v>
      </c>
      <c r="E2" s="11" t="n">
        <v>8</v>
      </c>
      <c r="F2" s="11" t="n">
        <v>0</v>
      </c>
      <c r="G2" s="11" t="n">
        <v>0</v>
      </c>
    </row>
    <row r="3" customFormat="false" ht="15" hidden="false" customHeight="true" outlineLevel="0" collapsed="false">
      <c r="A3" s="12" t="n">
        <v>46175</v>
      </c>
      <c r="B3" s="11" t="s">
        <v>39</v>
      </c>
      <c r="C3" s="11" t="s">
        <v>40</v>
      </c>
      <c r="D3" s="11" t="s">
        <v>69</v>
      </c>
      <c r="E3" s="11" t="n">
        <v>8</v>
      </c>
      <c r="F3" s="11" t="n">
        <v>0</v>
      </c>
      <c r="G3" s="11" t="n">
        <v>0</v>
      </c>
    </row>
    <row r="4" customFormat="false" ht="15" hidden="false" customHeight="true" outlineLevel="0" collapsed="false">
      <c r="A4" s="12" t="n">
        <v>46176</v>
      </c>
      <c r="B4" s="11" t="s">
        <v>39</v>
      </c>
      <c r="C4" s="11" t="s">
        <v>40</v>
      </c>
      <c r="D4" s="11" t="s">
        <v>69</v>
      </c>
      <c r="E4" s="11" t="n">
        <v>8</v>
      </c>
      <c r="F4" s="11" t="n">
        <v>0</v>
      </c>
      <c r="G4" s="11" t="n">
        <v>1.5</v>
      </c>
    </row>
    <row r="5" customFormat="false" ht="15" hidden="false" customHeight="true" outlineLevel="0" collapsed="false">
      <c r="A5" s="12" t="n">
        <v>46177</v>
      </c>
      <c r="B5" s="11" t="s">
        <v>39</v>
      </c>
      <c r="C5" s="11" t="s">
        <v>40</v>
      </c>
      <c r="D5" s="11" t="s">
        <v>69</v>
      </c>
      <c r="E5" s="11" t="n">
        <v>8</v>
      </c>
      <c r="F5" s="11" t="n">
        <v>0</v>
      </c>
      <c r="G5" s="11" t="n">
        <v>1.5</v>
      </c>
    </row>
    <row r="6" customFormat="false" ht="15" hidden="false" customHeight="true" outlineLevel="0" collapsed="false">
      <c r="A6" s="12" t="n">
        <v>46178</v>
      </c>
      <c r="B6" s="11" t="s">
        <v>39</v>
      </c>
      <c r="C6" s="11" t="s">
        <v>40</v>
      </c>
      <c r="D6" s="11" t="s">
        <v>69</v>
      </c>
      <c r="E6" s="11" t="n">
        <v>8</v>
      </c>
      <c r="F6" s="11" t="n">
        <v>0</v>
      </c>
      <c r="G6" s="11" t="n">
        <v>0</v>
      </c>
    </row>
    <row r="7" customFormat="false" ht="15" hidden="false" customHeight="true" outlineLevel="0" collapsed="false">
      <c r="A7" s="12" t="n">
        <v>46179</v>
      </c>
      <c r="B7" s="11" t="s">
        <v>39</v>
      </c>
      <c r="C7" s="11" t="s">
        <v>40</v>
      </c>
      <c r="D7" s="11" t="s">
        <v>69</v>
      </c>
      <c r="E7" s="11" t="n">
        <v>8</v>
      </c>
      <c r="F7" s="11" t="n">
        <v>0</v>
      </c>
      <c r="G7" s="11" t="n">
        <v>0</v>
      </c>
    </row>
    <row r="8" customFormat="false" ht="15" hidden="false" customHeight="true" outlineLevel="0" collapsed="false">
      <c r="A8" s="12" t="n">
        <v>46181</v>
      </c>
      <c r="B8" s="11" t="s">
        <v>39</v>
      </c>
      <c r="C8" s="11" t="s">
        <v>40</v>
      </c>
      <c r="D8" s="11" t="s">
        <v>70</v>
      </c>
      <c r="E8" s="11" t="n">
        <v>7.2</v>
      </c>
      <c r="F8" s="11" t="n">
        <v>30</v>
      </c>
      <c r="G8" s="11" t="n">
        <v>1.5</v>
      </c>
    </row>
    <row r="9" customFormat="false" ht="15" hidden="false" customHeight="true" outlineLevel="0" collapsed="false">
      <c r="A9" s="12" t="n">
        <v>46182</v>
      </c>
      <c r="B9" s="11" t="s">
        <v>39</v>
      </c>
      <c r="C9" s="11" t="s">
        <v>40</v>
      </c>
      <c r="D9" s="11" t="s">
        <v>70</v>
      </c>
      <c r="E9" s="11" t="n">
        <v>7.2</v>
      </c>
      <c r="F9" s="11" t="n">
        <v>45</v>
      </c>
      <c r="G9" s="11" t="n">
        <v>1.5</v>
      </c>
    </row>
    <row r="10" customFormat="false" ht="15" hidden="false" customHeight="true" outlineLevel="0" collapsed="false">
      <c r="A10" s="12" t="n">
        <v>46183</v>
      </c>
      <c r="B10" s="11" t="s">
        <v>39</v>
      </c>
      <c r="C10" s="11" t="s">
        <v>40</v>
      </c>
      <c r="D10" s="11" t="s">
        <v>69</v>
      </c>
      <c r="E10" s="11" t="n">
        <v>8</v>
      </c>
      <c r="F10" s="11" t="n">
        <v>0</v>
      </c>
      <c r="G10" s="11" t="n">
        <v>0</v>
      </c>
    </row>
    <row r="11" customFormat="false" ht="15" hidden="false" customHeight="true" outlineLevel="0" collapsed="false">
      <c r="A11" s="12" t="n">
        <v>46184</v>
      </c>
      <c r="B11" s="11" t="s">
        <v>39</v>
      </c>
      <c r="C11" s="11" t="s">
        <v>40</v>
      </c>
      <c r="D11" s="11" t="s">
        <v>69</v>
      </c>
      <c r="E11" s="11" t="n">
        <v>8</v>
      </c>
      <c r="F11" s="11" t="n">
        <v>0</v>
      </c>
      <c r="G11" s="11" t="n">
        <v>2</v>
      </c>
    </row>
    <row r="12" customFormat="false" ht="15" hidden="false" customHeight="true" outlineLevel="0" collapsed="false">
      <c r="A12" s="12" t="n">
        <v>46185</v>
      </c>
      <c r="B12" s="11" t="s">
        <v>39</v>
      </c>
      <c r="C12" s="11" t="s">
        <v>40</v>
      </c>
      <c r="D12" s="11" t="s">
        <v>69</v>
      </c>
      <c r="E12" s="11" t="n">
        <v>8</v>
      </c>
      <c r="F12" s="11" t="n">
        <v>0</v>
      </c>
      <c r="G12" s="11" t="n">
        <v>2</v>
      </c>
    </row>
    <row r="13" customFormat="false" ht="15" hidden="false" customHeight="true" outlineLevel="0" collapsed="false">
      <c r="A13" s="12" t="n">
        <v>46186</v>
      </c>
      <c r="B13" s="11" t="s">
        <v>39</v>
      </c>
      <c r="C13" s="11" t="s">
        <v>40</v>
      </c>
      <c r="D13" s="11" t="s">
        <v>69</v>
      </c>
      <c r="E13" s="11" t="n">
        <v>8</v>
      </c>
      <c r="F13" s="11" t="n">
        <v>0</v>
      </c>
      <c r="G13" s="11" t="n">
        <v>1.5</v>
      </c>
    </row>
    <row r="14" customFormat="false" ht="15" hidden="false" customHeight="true" outlineLevel="0" collapsed="false">
      <c r="A14" s="12" t="n">
        <v>46188</v>
      </c>
      <c r="B14" s="11" t="s">
        <v>39</v>
      </c>
      <c r="C14" s="11" t="s">
        <v>40</v>
      </c>
      <c r="D14" s="11" t="s">
        <v>69</v>
      </c>
      <c r="E14" s="11" t="n">
        <v>8</v>
      </c>
      <c r="F14" s="11" t="n">
        <v>0</v>
      </c>
      <c r="G14" s="11" t="n">
        <v>0</v>
      </c>
    </row>
    <row r="15" customFormat="false" ht="15" hidden="false" customHeight="true" outlineLevel="0" collapsed="false">
      <c r="A15" s="12" t="n">
        <v>46189</v>
      </c>
      <c r="B15" s="11" t="s">
        <v>39</v>
      </c>
      <c r="C15" s="11" t="s">
        <v>40</v>
      </c>
      <c r="D15" s="11" t="s">
        <v>69</v>
      </c>
      <c r="E15" s="11" t="n">
        <v>8</v>
      </c>
      <c r="F15" s="11" t="n">
        <v>0</v>
      </c>
      <c r="G15" s="11" t="n">
        <v>2</v>
      </c>
    </row>
    <row r="16" customFormat="false" ht="15" hidden="false" customHeight="true" outlineLevel="0" collapsed="false">
      <c r="A16" s="12" t="n">
        <v>46190</v>
      </c>
      <c r="B16" s="11" t="s">
        <v>39</v>
      </c>
      <c r="C16" s="11" t="s">
        <v>40</v>
      </c>
      <c r="D16" s="11" t="s">
        <v>69</v>
      </c>
      <c r="E16" s="11" t="n">
        <v>8</v>
      </c>
      <c r="F16" s="11" t="n">
        <v>0</v>
      </c>
      <c r="G16" s="11" t="n">
        <v>0</v>
      </c>
    </row>
    <row r="17" customFormat="false" ht="15" hidden="false" customHeight="true" outlineLevel="0" collapsed="false">
      <c r="A17" s="12" t="n">
        <v>46191</v>
      </c>
      <c r="B17" s="11" t="s">
        <v>39</v>
      </c>
      <c r="C17" s="11" t="s">
        <v>40</v>
      </c>
      <c r="D17" s="11" t="s">
        <v>69</v>
      </c>
      <c r="E17" s="11" t="n">
        <v>8</v>
      </c>
      <c r="F17" s="11" t="n">
        <v>0</v>
      </c>
      <c r="G17" s="11" t="n">
        <v>0</v>
      </c>
    </row>
    <row r="18" customFormat="false" ht="15" hidden="false" customHeight="true" outlineLevel="0" collapsed="false">
      <c r="A18" s="12" t="n">
        <v>46192</v>
      </c>
      <c r="B18" s="11" t="s">
        <v>39</v>
      </c>
      <c r="C18" s="11" t="s">
        <v>40</v>
      </c>
      <c r="D18" s="11" t="s">
        <v>69</v>
      </c>
      <c r="E18" s="11" t="n">
        <v>8</v>
      </c>
      <c r="F18" s="11" t="n">
        <v>0</v>
      </c>
      <c r="G18" s="11" t="n">
        <v>1</v>
      </c>
    </row>
    <row r="19" customFormat="false" ht="15" hidden="false" customHeight="true" outlineLevel="0" collapsed="false">
      <c r="A19" s="12" t="n">
        <v>46195</v>
      </c>
      <c r="B19" s="11" t="s">
        <v>39</v>
      </c>
      <c r="C19" s="11" t="s">
        <v>40</v>
      </c>
      <c r="D19" s="11" t="s">
        <v>69</v>
      </c>
      <c r="E19" s="11" t="n">
        <v>8</v>
      </c>
      <c r="F19" s="11" t="n">
        <v>0</v>
      </c>
      <c r="G19" s="11" t="n">
        <v>0</v>
      </c>
    </row>
    <row r="20" customFormat="false" ht="15" hidden="false" customHeight="true" outlineLevel="0" collapsed="false">
      <c r="A20" s="12" t="n">
        <v>46196</v>
      </c>
      <c r="B20" s="11" t="s">
        <v>39</v>
      </c>
      <c r="C20" s="11" t="s">
        <v>40</v>
      </c>
      <c r="D20" s="11" t="s">
        <v>69</v>
      </c>
      <c r="E20" s="11" t="n">
        <v>8</v>
      </c>
      <c r="F20" s="11" t="n">
        <v>0</v>
      </c>
      <c r="G20" s="11" t="n">
        <v>1</v>
      </c>
    </row>
    <row r="21" customFormat="false" ht="15" hidden="false" customHeight="true" outlineLevel="0" collapsed="false">
      <c r="A21" s="12" t="n">
        <v>46197</v>
      </c>
      <c r="B21" s="11" t="s">
        <v>39</v>
      </c>
      <c r="C21" s="11" t="s">
        <v>40</v>
      </c>
      <c r="D21" s="11" t="s">
        <v>69</v>
      </c>
      <c r="E21" s="11" t="n">
        <v>8</v>
      </c>
      <c r="F21" s="11" t="n">
        <v>0</v>
      </c>
      <c r="G21" s="11" t="n">
        <v>0</v>
      </c>
    </row>
    <row r="22" customFormat="false" ht="15" hidden="false" customHeight="true" outlineLevel="0" collapsed="false">
      <c r="A22" s="12" t="n">
        <v>46198</v>
      </c>
      <c r="B22" s="11" t="s">
        <v>39</v>
      </c>
      <c r="C22" s="11" t="s">
        <v>40</v>
      </c>
      <c r="D22" s="11" t="s">
        <v>69</v>
      </c>
      <c r="E22" s="11" t="n">
        <v>8</v>
      </c>
      <c r="F22" s="11" t="n">
        <v>0</v>
      </c>
      <c r="G22" s="11" t="n">
        <v>0</v>
      </c>
    </row>
    <row r="23" customFormat="false" ht="15" hidden="false" customHeight="true" outlineLevel="0" collapsed="false">
      <c r="A23" s="12" t="n">
        <v>46199</v>
      </c>
      <c r="B23" s="11" t="s">
        <v>39</v>
      </c>
      <c r="C23" s="11" t="s">
        <v>40</v>
      </c>
      <c r="D23" s="11" t="s">
        <v>69</v>
      </c>
      <c r="E23" s="11" t="n">
        <v>8</v>
      </c>
      <c r="F23" s="11" t="n">
        <v>0</v>
      </c>
      <c r="G23" s="11" t="n">
        <v>1</v>
      </c>
    </row>
    <row r="24" customFormat="false" ht="15" hidden="false" customHeight="true" outlineLevel="0" collapsed="false">
      <c r="A24" s="12" t="n">
        <v>46200</v>
      </c>
      <c r="B24" s="11" t="s">
        <v>39</v>
      </c>
      <c r="C24" s="11" t="s">
        <v>40</v>
      </c>
      <c r="D24" s="11" t="s">
        <v>69</v>
      </c>
      <c r="E24" s="11" t="n">
        <v>8</v>
      </c>
      <c r="F24" s="11" t="n">
        <v>0</v>
      </c>
      <c r="G24" s="11" t="n">
        <v>0</v>
      </c>
    </row>
    <row r="25" customFormat="false" ht="15" hidden="false" customHeight="true" outlineLevel="0" collapsed="false">
      <c r="A25" s="12" t="n">
        <v>46202</v>
      </c>
      <c r="B25" s="11" t="s">
        <v>39</v>
      </c>
      <c r="C25" s="11" t="s">
        <v>40</v>
      </c>
      <c r="D25" s="11" t="s">
        <v>69</v>
      </c>
      <c r="E25" s="11" t="n">
        <v>8</v>
      </c>
      <c r="F25" s="11" t="n">
        <v>0</v>
      </c>
      <c r="G25" s="11" t="n">
        <v>1.5</v>
      </c>
    </row>
    <row r="26" customFormat="false" ht="15" hidden="false" customHeight="true" outlineLevel="0" collapsed="false">
      <c r="A26" s="12" t="n">
        <v>46203</v>
      </c>
      <c r="B26" s="11" t="s">
        <v>39</v>
      </c>
      <c r="C26" s="11" t="s">
        <v>40</v>
      </c>
      <c r="D26" s="11" t="s">
        <v>69</v>
      </c>
      <c r="E26" s="11" t="n">
        <v>8</v>
      </c>
      <c r="F26" s="11" t="n">
        <v>0</v>
      </c>
      <c r="G26" s="11" t="n">
        <v>1.5</v>
      </c>
    </row>
    <row r="27" customFormat="false" ht="15" hidden="false" customHeight="true" outlineLevel="0" collapsed="false">
      <c r="A27" s="12" t="n">
        <v>46174</v>
      </c>
      <c r="B27" s="11" t="s">
        <v>44</v>
      </c>
      <c r="C27" s="11" t="s">
        <v>45</v>
      </c>
      <c r="D27" s="11" t="s">
        <v>69</v>
      </c>
      <c r="E27" s="11" t="n">
        <v>8</v>
      </c>
      <c r="F27" s="11" t="n">
        <v>0</v>
      </c>
      <c r="G27" s="11" t="n">
        <v>0</v>
      </c>
    </row>
    <row r="28" customFormat="false" ht="15" hidden="false" customHeight="true" outlineLevel="0" collapsed="false">
      <c r="A28" s="12" t="n">
        <v>46175</v>
      </c>
      <c r="B28" s="11" t="s">
        <v>44</v>
      </c>
      <c r="C28" s="11" t="s">
        <v>45</v>
      </c>
      <c r="D28" s="11" t="s">
        <v>69</v>
      </c>
      <c r="E28" s="11" t="n">
        <v>8</v>
      </c>
      <c r="F28" s="11" t="n">
        <v>0</v>
      </c>
      <c r="G28" s="11" t="n">
        <v>2</v>
      </c>
    </row>
    <row r="29" customFormat="false" ht="15" hidden="false" customHeight="true" outlineLevel="0" collapsed="false">
      <c r="A29" s="12" t="n">
        <v>46176</v>
      </c>
      <c r="B29" s="11" t="s">
        <v>44</v>
      </c>
      <c r="C29" s="11" t="s">
        <v>45</v>
      </c>
      <c r="D29" s="11" t="s">
        <v>69</v>
      </c>
      <c r="E29" s="11" t="n">
        <v>8</v>
      </c>
      <c r="F29" s="11" t="n">
        <v>0</v>
      </c>
      <c r="G29" s="11" t="n">
        <v>0</v>
      </c>
    </row>
    <row r="30" customFormat="false" ht="15" hidden="false" customHeight="true" outlineLevel="0" collapsed="false">
      <c r="A30" s="12" t="n">
        <v>46177</v>
      </c>
      <c r="B30" s="11" t="s">
        <v>44</v>
      </c>
      <c r="C30" s="11" t="s">
        <v>45</v>
      </c>
      <c r="D30" s="11" t="s">
        <v>69</v>
      </c>
      <c r="E30" s="11" t="n">
        <v>8</v>
      </c>
      <c r="F30" s="11" t="n">
        <v>0</v>
      </c>
      <c r="G30" s="11" t="n">
        <v>0</v>
      </c>
    </row>
    <row r="31" customFormat="false" ht="15" hidden="false" customHeight="true" outlineLevel="0" collapsed="false">
      <c r="A31" s="12" t="n">
        <v>46178</v>
      </c>
      <c r="B31" s="11" t="s">
        <v>44</v>
      </c>
      <c r="C31" s="11" t="s">
        <v>45</v>
      </c>
      <c r="D31" s="11" t="s">
        <v>69</v>
      </c>
      <c r="E31" s="11" t="n">
        <v>8</v>
      </c>
      <c r="F31" s="11" t="n">
        <v>0</v>
      </c>
      <c r="G31" s="11" t="n">
        <v>0</v>
      </c>
    </row>
    <row r="32" customFormat="false" ht="15" hidden="false" customHeight="true" outlineLevel="0" collapsed="false">
      <c r="A32" s="12" t="n">
        <v>46179</v>
      </c>
      <c r="B32" s="11" t="s">
        <v>44</v>
      </c>
      <c r="C32" s="11" t="s">
        <v>45</v>
      </c>
      <c r="D32" s="11" t="s">
        <v>69</v>
      </c>
      <c r="E32" s="11" t="n">
        <v>8</v>
      </c>
      <c r="F32" s="11" t="n">
        <v>0</v>
      </c>
      <c r="G32" s="11" t="n">
        <v>0</v>
      </c>
    </row>
    <row r="33" customFormat="false" ht="15" hidden="false" customHeight="true" outlineLevel="0" collapsed="false">
      <c r="A33" s="12" t="n">
        <v>46181</v>
      </c>
      <c r="B33" s="11" t="s">
        <v>44</v>
      </c>
      <c r="C33" s="11" t="s">
        <v>45</v>
      </c>
      <c r="D33" s="11" t="s">
        <v>69</v>
      </c>
      <c r="E33" s="11" t="n">
        <v>8</v>
      </c>
      <c r="F33" s="11" t="n">
        <v>0</v>
      </c>
      <c r="G33" s="11" t="n">
        <v>0</v>
      </c>
    </row>
    <row r="34" customFormat="false" ht="15" hidden="false" customHeight="true" outlineLevel="0" collapsed="false">
      <c r="A34" s="12" t="n">
        <v>46182</v>
      </c>
      <c r="B34" s="11" t="s">
        <v>44</v>
      </c>
      <c r="C34" s="11" t="s">
        <v>45</v>
      </c>
      <c r="D34" s="11" t="s">
        <v>69</v>
      </c>
      <c r="E34" s="11" t="n">
        <v>8</v>
      </c>
      <c r="F34" s="11" t="n">
        <v>0</v>
      </c>
      <c r="G34" s="11" t="n">
        <v>1.5</v>
      </c>
    </row>
    <row r="35" customFormat="false" ht="15" hidden="false" customHeight="true" outlineLevel="0" collapsed="false">
      <c r="A35" s="12" t="n">
        <v>46183</v>
      </c>
      <c r="B35" s="11" t="s">
        <v>44</v>
      </c>
      <c r="C35" s="11" t="s">
        <v>45</v>
      </c>
      <c r="D35" s="11" t="s">
        <v>69</v>
      </c>
      <c r="E35" s="11" t="n">
        <v>8</v>
      </c>
      <c r="F35" s="11" t="n">
        <v>0</v>
      </c>
      <c r="G35" s="11" t="n">
        <v>1</v>
      </c>
    </row>
    <row r="36" customFormat="false" ht="15" hidden="false" customHeight="true" outlineLevel="0" collapsed="false">
      <c r="A36" s="12" t="n">
        <v>46184</v>
      </c>
      <c r="B36" s="11" t="s">
        <v>44</v>
      </c>
      <c r="C36" s="11" t="s">
        <v>45</v>
      </c>
      <c r="D36" s="11" t="s">
        <v>69</v>
      </c>
      <c r="E36" s="11" t="n">
        <v>8</v>
      </c>
      <c r="F36" s="11" t="n">
        <v>0</v>
      </c>
      <c r="G36" s="11" t="n">
        <v>1</v>
      </c>
    </row>
    <row r="37" customFormat="false" ht="15" hidden="false" customHeight="true" outlineLevel="0" collapsed="false">
      <c r="A37" s="12" t="n">
        <v>46185</v>
      </c>
      <c r="B37" s="11" t="s">
        <v>44</v>
      </c>
      <c r="C37" s="11" t="s">
        <v>45</v>
      </c>
      <c r="D37" s="11" t="s">
        <v>69</v>
      </c>
      <c r="E37" s="11" t="n">
        <v>8</v>
      </c>
      <c r="F37" s="11" t="n">
        <v>0</v>
      </c>
      <c r="G37" s="11" t="n">
        <v>0</v>
      </c>
    </row>
    <row r="38" customFormat="false" ht="15" hidden="false" customHeight="true" outlineLevel="0" collapsed="false">
      <c r="A38" s="12" t="n">
        <v>46186</v>
      </c>
      <c r="B38" s="11" t="s">
        <v>44</v>
      </c>
      <c r="C38" s="11" t="s">
        <v>45</v>
      </c>
      <c r="D38" s="11" t="s">
        <v>69</v>
      </c>
      <c r="E38" s="11" t="n">
        <v>8</v>
      </c>
      <c r="F38" s="11" t="n">
        <v>0</v>
      </c>
      <c r="G38" s="11" t="n">
        <v>0</v>
      </c>
    </row>
    <row r="39" customFormat="false" ht="15" hidden="false" customHeight="true" outlineLevel="0" collapsed="false">
      <c r="A39" s="12" t="n">
        <v>46188</v>
      </c>
      <c r="B39" s="11" t="s">
        <v>44</v>
      </c>
      <c r="C39" s="11" t="s">
        <v>45</v>
      </c>
      <c r="D39" s="11" t="s">
        <v>69</v>
      </c>
      <c r="E39" s="11" t="n">
        <v>8</v>
      </c>
      <c r="F39" s="11" t="n">
        <v>0</v>
      </c>
      <c r="G39" s="11" t="n">
        <v>1.5</v>
      </c>
    </row>
    <row r="40" customFormat="false" ht="15" hidden="false" customHeight="true" outlineLevel="0" collapsed="false">
      <c r="A40" s="12" t="n">
        <v>46189</v>
      </c>
      <c r="B40" s="11" t="s">
        <v>44</v>
      </c>
      <c r="C40" s="11" t="s">
        <v>45</v>
      </c>
      <c r="D40" s="11" t="s">
        <v>69</v>
      </c>
      <c r="E40" s="11" t="n">
        <v>8</v>
      </c>
      <c r="F40" s="11" t="n">
        <v>0</v>
      </c>
      <c r="G40" s="11" t="n">
        <v>0</v>
      </c>
    </row>
    <row r="41" customFormat="false" ht="15" hidden="false" customHeight="true" outlineLevel="0" collapsed="false">
      <c r="A41" s="12" t="n">
        <v>46190</v>
      </c>
      <c r="B41" s="11" t="s">
        <v>44</v>
      </c>
      <c r="C41" s="11" t="s">
        <v>45</v>
      </c>
      <c r="D41" s="11" t="s">
        <v>69</v>
      </c>
      <c r="E41" s="11" t="n">
        <v>8</v>
      </c>
      <c r="F41" s="11" t="n">
        <v>0</v>
      </c>
      <c r="G41" s="11" t="n">
        <v>2</v>
      </c>
    </row>
    <row r="42" customFormat="false" ht="15" hidden="false" customHeight="true" outlineLevel="0" collapsed="false">
      <c r="A42" s="12" t="n">
        <v>46191</v>
      </c>
      <c r="B42" s="11" t="s">
        <v>44</v>
      </c>
      <c r="C42" s="11" t="s">
        <v>45</v>
      </c>
      <c r="D42" s="11" t="s">
        <v>69</v>
      </c>
      <c r="E42" s="11" t="n">
        <v>8</v>
      </c>
      <c r="F42" s="11" t="n">
        <v>0</v>
      </c>
      <c r="G42" s="11" t="n">
        <v>0</v>
      </c>
    </row>
    <row r="43" customFormat="false" ht="15" hidden="false" customHeight="true" outlineLevel="0" collapsed="false">
      <c r="A43" s="12" t="n">
        <v>46192</v>
      </c>
      <c r="B43" s="11" t="s">
        <v>44</v>
      </c>
      <c r="C43" s="11" t="s">
        <v>45</v>
      </c>
      <c r="D43" s="11" t="s">
        <v>69</v>
      </c>
      <c r="E43" s="11" t="n">
        <v>8</v>
      </c>
      <c r="F43" s="11" t="n">
        <v>0</v>
      </c>
      <c r="G43" s="11" t="n">
        <v>0</v>
      </c>
    </row>
    <row r="44" customFormat="false" ht="15" hidden="false" customHeight="true" outlineLevel="0" collapsed="false">
      <c r="A44" s="12" t="n">
        <v>46195</v>
      </c>
      <c r="B44" s="11" t="s">
        <v>44</v>
      </c>
      <c r="C44" s="11" t="s">
        <v>45</v>
      </c>
      <c r="D44" s="11" t="s">
        <v>69</v>
      </c>
      <c r="E44" s="11" t="n">
        <v>8</v>
      </c>
      <c r="F44" s="11" t="n">
        <v>0</v>
      </c>
      <c r="G44" s="11" t="n">
        <v>0</v>
      </c>
    </row>
    <row r="45" customFormat="false" ht="15" hidden="false" customHeight="true" outlineLevel="0" collapsed="false">
      <c r="A45" s="12" t="n">
        <v>46196</v>
      </c>
      <c r="B45" s="11" t="s">
        <v>44</v>
      </c>
      <c r="C45" s="11" t="s">
        <v>45</v>
      </c>
      <c r="D45" s="11" t="s">
        <v>69</v>
      </c>
      <c r="E45" s="11" t="n">
        <v>8</v>
      </c>
      <c r="F45" s="11" t="n">
        <v>0</v>
      </c>
      <c r="G45" s="11" t="n">
        <v>0</v>
      </c>
    </row>
    <row r="46" customFormat="false" ht="15" hidden="false" customHeight="true" outlineLevel="0" collapsed="false">
      <c r="A46" s="12" t="n">
        <v>46197</v>
      </c>
      <c r="B46" s="11" t="s">
        <v>44</v>
      </c>
      <c r="C46" s="11" t="s">
        <v>45</v>
      </c>
      <c r="D46" s="11" t="s">
        <v>69</v>
      </c>
      <c r="E46" s="11" t="n">
        <v>8</v>
      </c>
      <c r="F46" s="11" t="n">
        <v>0</v>
      </c>
      <c r="G46" s="11" t="n">
        <v>1</v>
      </c>
    </row>
    <row r="47" customFormat="false" ht="15" hidden="false" customHeight="true" outlineLevel="0" collapsed="false">
      <c r="A47" s="12" t="n">
        <v>46198</v>
      </c>
      <c r="B47" s="11" t="s">
        <v>44</v>
      </c>
      <c r="C47" s="11" t="s">
        <v>45</v>
      </c>
      <c r="D47" s="11" t="s">
        <v>69</v>
      </c>
      <c r="E47" s="11" t="n">
        <v>8</v>
      </c>
      <c r="F47" s="11" t="n">
        <v>0</v>
      </c>
      <c r="G47" s="11" t="n">
        <v>0</v>
      </c>
    </row>
    <row r="48" customFormat="false" ht="15" hidden="false" customHeight="true" outlineLevel="0" collapsed="false">
      <c r="A48" s="12" t="n">
        <v>46199</v>
      </c>
      <c r="B48" s="11" t="s">
        <v>44</v>
      </c>
      <c r="C48" s="11" t="s">
        <v>45</v>
      </c>
      <c r="D48" s="11" t="s">
        <v>69</v>
      </c>
      <c r="E48" s="11" t="n">
        <v>8</v>
      </c>
      <c r="F48" s="11" t="n">
        <v>0</v>
      </c>
      <c r="G48" s="11" t="n">
        <v>0</v>
      </c>
    </row>
    <row r="49" customFormat="false" ht="15" hidden="false" customHeight="true" outlineLevel="0" collapsed="false">
      <c r="A49" s="12" t="n">
        <v>46200</v>
      </c>
      <c r="B49" s="11" t="s">
        <v>44</v>
      </c>
      <c r="C49" s="11" t="s">
        <v>45</v>
      </c>
      <c r="D49" s="11" t="s">
        <v>69</v>
      </c>
      <c r="E49" s="11" t="n">
        <v>8</v>
      </c>
      <c r="F49" s="11" t="n">
        <v>0</v>
      </c>
      <c r="G49" s="11" t="n">
        <v>1.5</v>
      </c>
    </row>
    <row r="50" customFormat="false" ht="15" hidden="false" customHeight="true" outlineLevel="0" collapsed="false">
      <c r="A50" s="12" t="n">
        <v>46202</v>
      </c>
      <c r="B50" s="11" t="s">
        <v>44</v>
      </c>
      <c r="C50" s="11" t="s">
        <v>45</v>
      </c>
      <c r="D50" s="11" t="s">
        <v>69</v>
      </c>
      <c r="E50" s="11" t="n">
        <v>8</v>
      </c>
      <c r="F50" s="11" t="n">
        <v>0</v>
      </c>
      <c r="G50" s="11" t="n">
        <v>0</v>
      </c>
    </row>
    <row r="51" customFormat="false" ht="15" hidden="false" customHeight="true" outlineLevel="0" collapsed="false">
      <c r="A51" s="12" t="n">
        <v>46203</v>
      </c>
      <c r="B51" s="11" t="s">
        <v>44</v>
      </c>
      <c r="C51" s="11" t="s">
        <v>45</v>
      </c>
      <c r="D51" s="11" t="s">
        <v>69</v>
      </c>
      <c r="E51" s="11" t="n">
        <v>8</v>
      </c>
      <c r="F51" s="11" t="n">
        <v>0</v>
      </c>
      <c r="G51" s="11" t="n">
        <v>1.5</v>
      </c>
    </row>
    <row r="52" customFormat="false" ht="15" hidden="false" customHeight="true" outlineLevel="0" collapsed="false">
      <c r="A52" s="12" t="n">
        <v>46174</v>
      </c>
      <c r="B52" s="11" t="s">
        <v>48</v>
      </c>
      <c r="C52" s="11" t="s">
        <v>49</v>
      </c>
      <c r="D52" s="11" t="s">
        <v>69</v>
      </c>
      <c r="E52" s="11" t="n">
        <v>8</v>
      </c>
      <c r="F52" s="11" t="n">
        <v>0</v>
      </c>
      <c r="G52" s="11" t="n">
        <v>0</v>
      </c>
    </row>
    <row r="53" customFormat="false" ht="15" hidden="false" customHeight="true" outlineLevel="0" collapsed="false">
      <c r="A53" s="12" t="n">
        <v>46175</v>
      </c>
      <c r="B53" s="11" t="s">
        <v>48</v>
      </c>
      <c r="C53" s="11" t="s">
        <v>49</v>
      </c>
      <c r="D53" s="11" t="s">
        <v>69</v>
      </c>
      <c r="E53" s="11" t="n">
        <v>8</v>
      </c>
      <c r="F53" s="11" t="n">
        <v>0</v>
      </c>
      <c r="G53" s="11" t="n">
        <v>0</v>
      </c>
    </row>
    <row r="54" customFormat="false" ht="15" hidden="false" customHeight="true" outlineLevel="0" collapsed="false">
      <c r="A54" s="12" t="n">
        <v>46176</v>
      </c>
      <c r="B54" s="11" t="s">
        <v>48</v>
      </c>
      <c r="C54" s="11" t="s">
        <v>49</v>
      </c>
      <c r="D54" s="11" t="s">
        <v>69</v>
      </c>
      <c r="E54" s="11" t="n">
        <v>8</v>
      </c>
      <c r="F54" s="11" t="n">
        <v>0</v>
      </c>
      <c r="G54" s="11" t="n">
        <v>0</v>
      </c>
    </row>
    <row r="55" customFormat="false" ht="15" hidden="false" customHeight="true" outlineLevel="0" collapsed="false">
      <c r="A55" s="12" t="n">
        <v>46177</v>
      </c>
      <c r="B55" s="11" t="s">
        <v>48</v>
      </c>
      <c r="C55" s="11" t="s">
        <v>49</v>
      </c>
      <c r="D55" s="11" t="s">
        <v>69</v>
      </c>
      <c r="E55" s="11" t="n">
        <v>8</v>
      </c>
      <c r="F55" s="11" t="n">
        <v>0</v>
      </c>
      <c r="G55" s="11" t="n">
        <v>0</v>
      </c>
    </row>
    <row r="56" customFormat="false" ht="15" hidden="false" customHeight="true" outlineLevel="0" collapsed="false">
      <c r="A56" s="12" t="n">
        <v>46178</v>
      </c>
      <c r="B56" s="11" t="s">
        <v>48</v>
      </c>
      <c r="C56" s="11" t="s">
        <v>49</v>
      </c>
      <c r="D56" s="11" t="s">
        <v>69</v>
      </c>
      <c r="E56" s="11" t="n">
        <v>8</v>
      </c>
      <c r="F56" s="11" t="n">
        <v>0</v>
      </c>
      <c r="G56" s="11" t="n">
        <v>0</v>
      </c>
    </row>
    <row r="57" customFormat="false" ht="15" hidden="false" customHeight="true" outlineLevel="0" collapsed="false">
      <c r="A57" s="12" t="n">
        <v>46179</v>
      </c>
      <c r="B57" s="11" t="s">
        <v>48</v>
      </c>
      <c r="C57" s="11" t="s">
        <v>49</v>
      </c>
      <c r="D57" s="11" t="s">
        <v>69</v>
      </c>
      <c r="E57" s="11" t="n">
        <v>8</v>
      </c>
      <c r="F57" s="11" t="n">
        <v>0</v>
      </c>
      <c r="G57" s="11" t="n">
        <v>2</v>
      </c>
    </row>
    <row r="58" customFormat="false" ht="15" hidden="false" customHeight="true" outlineLevel="0" collapsed="false">
      <c r="A58" s="12" t="n">
        <v>46181</v>
      </c>
      <c r="B58" s="11" t="s">
        <v>48</v>
      </c>
      <c r="C58" s="11" t="s">
        <v>49</v>
      </c>
      <c r="D58" s="11" t="s">
        <v>69</v>
      </c>
      <c r="E58" s="11" t="n">
        <v>8</v>
      </c>
      <c r="F58" s="11" t="n">
        <v>0</v>
      </c>
      <c r="G58" s="11" t="n">
        <v>1.5</v>
      </c>
    </row>
    <row r="59" customFormat="false" ht="15" hidden="false" customHeight="true" outlineLevel="0" collapsed="false">
      <c r="A59" s="12" t="n">
        <v>46182</v>
      </c>
      <c r="B59" s="11" t="s">
        <v>48</v>
      </c>
      <c r="C59" s="11" t="s">
        <v>49</v>
      </c>
      <c r="D59" s="11" t="s">
        <v>69</v>
      </c>
      <c r="E59" s="11" t="n">
        <v>8</v>
      </c>
      <c r="F59" s="11" t="n">
        <v>0</v>
      </c>
      <c r="G59" s="11" t="n">
        <v>1.5</v>
      </c>
    </row>
    <row r="60" customFormat="false" ht="15" hidden="false" customHeight="true" outlineLevel="0" collapsed="false">
      <c r="A60" s="12" t="n">
        <v>46183</v>
      </c>
      <c r="B60" s="11" t="s">
        <v>48</v>
      </c>
      <c r="C60" s="11" t="s">
        <v>49</v>
      </c>
      <c r="D60" s="11" t="s">
        <v>69</v>
      </c>
      <c r="E60" s="11" t="n">
        <v>8</v>
      </c>
      <c r="F60" s="11" t="n">
        <v>0</v>
      </c>
      <c r="G60" s="11" t="n">
        <v>0</v>
      </c>
    </row>
    <row r="61" customFormat="false" ht="15" hidden="false" customHeight="true" outlineLevel="0" collapsed="false">
      <c r="A61" s="12" t="n">
        <v>46184</v>
      </c>
      <c r="B61" s="11" t="s">
        <v>48</v>
      </c>
      <c r="C61" s="11" t="s">
        <v>49</v>
      </c>
      <c r="D61" s="11" t="s">
        <v>69</v>
      </c>
      <c r="E61" s="11" t="n">
        <v>8</v>
      </c>
      <c r="F61" s="11" t="n">
        <v>0</v>
      </c>
      <c r="G61" s="11" t="n">
        <v>1</v>
      </c>
    </row>
    <row r="62" customFormat="false" ht="15" hidden="false" customHeight="true" outlineLevel="0" collapsed="false">
      <c r="A62" s="12" t="n">
        <v>46185</v>
      </c>
      <c r="B62" s="11" t="s">
        <v>48</v>
      </c>
      <c r="C62" s="11" t="s">
        <v>49</v>
      </c>
      <c r="D62" s="11" t="s">
        <v>69</v>
      </c>
      <c r="E62" s="11" t="n">
        <v>8</v>
      </c>
      <c r="F62" s="11" t="n">
        <v>0</v>
      </c>
      <c r="G62" s="11" t="n">
        <v>1</v>
      </c>
    </row>
    <row r="63" customFormat="false" ht="15" hidden="false" customHeight="true" outlineLevel="0" collapsed="false">
      <c r="A63" s="12" t="n">
        <v>46186</v>
      </c>
      <c r="B63" s="11" t="s">
        <v>48</v>
      </c>
      <c r="C63" s="11" t="s">
        <v>49</v>
      </c>
      <c r="D63" s="11" t="s">
        <v>69</v>
      </c>
      <c r="E63" s="11" t="n">
        <v>8</v>
      </c>
      <c r="F63" s="11" t="n">
        <v>0</v>
      </c>
      <c r="G63" s="11" t="n">
        <v>1</v>
      </c>
    </row>
    <row r="64" customFormat="false" ht="15" hidden="false" customHeight="true" outlineLevel="0" collapsed="false">
      <c r="A64" s="12" t="n">
        <v>46188</v>
      </c>
      <c r="B64" s="11" t="s">
        <v>48</v>
      </c>
      <c r="C64" s="11" t="s">
        <v>49</v>
      </c>
      <c r="D64" s="11" t="s">
        <v>69</v>
      </c>
      <c r="E64" s="11" t="n">
        <v>8</v>
      </c>
      <c r="F64" s="11" t="n">
        <v>0</v>
      </c>
      <c r="G64" s="11" t="n">
        <v>0</v>
      </c>
    </row>
    <row r="65" customFormat="false" ht="15" hidden="false" customHeight="true" outlineLevel="0" collapsed="false">
      <c r="A65" s="12" t="n">
        <v>46189</v>
      </c>
      <c r="B65" s="11" t="s">
        <v>48</v>
      </c>
      <c r="C65" s="11" t="s">
        <v>49</v>
      </c>
      <c r="D65" s="11" t="s">
        <v>69</v>
      </c>
      <c r="E65" s="11" t="n">
        <v>8</v>
      </c>
      <c r="F65" s="11" t="n">
        <v>0</v>
      </c>
      <c r="G65" s="11" t="n">
        <v>0</v>
      </c>
    </row>
    <row r="66" customFormat="false" ht="15" hidden="false" customHeight="true" outlineLevel="0" collapsed="false">
      <c r="A66" s="12" t="n">
        <v>46190</v>
      </c>
      <c r="B66" s="11" t="s">
        <v>48</v>
      </c>
      <c r="C66" s="11" t="s">
        <v>49</v>
      </c>
      <c r="D66" s="11" t="s">
        <v>69</v>
      </c>
      <c r="E66" s="11" t="n">
        <v>8</v>
      </c>
      <c r="F66" s="11" t="n">
        <v>0</v>
      </c>
      <c r="G66" s="11" t="n">
        <v>1</v>
      </c>
    </row>
    <row r="67" customFormat="false" ht="15" hidden="false" customHeight="true" outlineLevel="0" collapsed="false">
      <c r="A67" s="12" t="n">
        <v>46191</v>
      </c>
      <c r="B67" s="11" t="s">
        <v>48</v>
      </c>
      <c r="C67" s="11" t="s">
        <v>49</v>
      </c>
      <c r="D67" s="11" t="s">
        <v>69</v>
      </c>
      <c r="E67" s="11" t="n">
        <v>8</v>
      </c>
      <c r="F67" s="11" t="n">
        <v>0</v>
      </c>
      <c r="G67" s="11" t="n">
        <v>2</v>
      </c>
    </row>
    <row r="68" customFormat="false" ht="15" hidden="false" customHeight="true" outlineLevel="0" collapsed="false">
      <c r="A68" s="12" t="n">
        <v>46192</v>
      </c>
      <c r="B68" s="11" t="s">
        <v>48</v>
      </c>
      <c r="C68" s="11" t="s">
        <v>49</v>
      </c>
      <c r="D68" s="11" t="s">
        <v>69</v>
      </c>
      <c r="E68" s="11" t="n">
        <v>8</v>
      </c>
      <c r="F68" s="11" t="n">
        <v>0</v>
      </c>
      <c r="G68" s="11" t="n">
        <v>0</v>
      </c>
    </row>
    <row r="69" customFormat="false" ht="15" hidden="false" customHeight="true" outlineLevel="0" collapsed="false">
      <c r="A69" s="12" t="n">
        <v>46195</v>
      </c>
      <c r="B69" s="11" t="s">
        <v>48</v>
      </c>
      <c r="C69" s="11" t="s">
        <v>49</v>
      </c>
      <c r="D69" s="11" t="s">
        <v>69</v>
      </c>
      <c r="E69" s="11" t="n">
        <v>8</v>
      </c>
      <c r="F69" s="11" t="n">
        <v>0</v>
      </c>
      <c r="G69" s="11" t="n">
        <v>0</v>
      </c>
    </row>
    <row r="70" customFormat="false" ht="15" hidden="false" customHeight="true" outlineLevel="0" collapsed="false">
      <c r="A70" s="12" t="n">
        <v>46196</v>
      </c>
      <c r="B70" s="11" t="s">
        <v>48</v>
      </c>
      <c r="C70" s="11" t="s">
        <v>49</v>
      </c>
      <c r="D70" s="11" t="s">
        <v>69</v>
      </c>
      <c r="E70" s="11" t="n">
        <v>8</v>
      </c>
      <c r="F70" s="11" t="n">
        <v>0</v>
      </c>
      <c r="G70" s="11" t="n">
        <v>1.5</v>
      </c>
    </row>
    <row r="71" customFormat="false" ht="15" hidden="false" customHeight="true" outlineLevel="0" collapsed="false">
      <c r="A71" s="12" t="n">
        <v>46197</v>
      </c>
      <c r="B71" s="11" t="s">
        <v>48</v>
      </c>
      <c r="C71" s="11" t="s">
        <v>49</v>
      </c>
      <c r="D71" s="11" t="s">
        <v>69</v>
      </c>
      <c r="E71" s="11" t="n">
        <v>8</v>
      </c>
      <c r="F71" s="11" t="n">
        <v>0</v>
      </c>
      <c r="G71" s="11" t="n">
        <v>0</v>
      </c>
    </row>
    <row r="72" customFormat="false" ht="15" hidden="false" customHeight="true" outlineLevel="0" collapsed="false">
      <c r="A72" s="12" t="n">
        <v>46198</v>
      </c>
      <c r="B72" s="11" t="s">
        <v>48</v>
      </c>
      <c r="C72" s="11" t="s">
        <v>49</v>
      </c>
      <c r="D72" s="11" t="s">
        <v>69</v>
      </c>
      <c r="E72" s="11" t="n">
        <v>8</v>
      </c>
      <c r="F72" s="11" t="n">
        <v>0</v>
      </c>
      <c r="G72" s="11" t="n">
        <v>2</v>
      </c>
    </row>
    <row r="73" customFormat="false" ht="15" hidden="false" customHeight="true" outlineLevel="0" collapsed="false">
      <c r="A73" s="12" t="n">
        <v>46199</v>
      </c>
      <c r="B73" s="11" t="s">
        <v>48</v>
      </c>
      <c r="C73" s="11" t="s">
        <v>49</v>
      </c>
      <c r="D73" s="11" t="s">
        <v>69</v>
      </c>
      <c r="E73" s="11" t="n">
        <v>8</v>
      </c>
      <c r="F73" s="11" t="n">
        <v>0</v>
      </c>
      <c r="G73" s="11" t="n">
        <v>0</v>
      </c>
    </row>
    <row r="74" customFormat="false" ht="15" hidden="false" customHeight="true" outlineLevel="0" collapsed="false">
      <c r="A74" s="12" t="n">
        <v>46200</v>
      </c>
      <c r="B74" s="11" t="s">
        <v>48</v>
      </c>
      <c r="C74" s="11" t="s">
        <v>49</v>
      </c>
      <c r="D74" s="11" t="s">
        <v>69</v>
      </c>
      <c r="E74" s="11" t="n">
        <v>8</v>
      </c>
      <c r="F74" s="11" t="n">
        <v>0</v>
      </c>
      <c r="G74" s="11" t="n">
        <v>0</v>
      </c>
    </row>
    <row r="75" customFormat="false" ht="15" hidden="false" customHeight="true" outlineLevel="0" collapsed="false">
      <c r="A75" s="12" t="n">
        <v>46202</v>
      </c>
      <c r="B75" s="11" t="s">
        <v>48</v>
      </c>
      <c r="C75" s="11" t="s">
        <v>49</v>
      </c>
      <c r="D75" s="11" t="s">
        <v>69</v>
      </c>
      <c r="E75" s="11" t="n">
        <v>8</v>
      </c>
      <c r="F75" s="11" t="n">
        <v>0</v>
      </c>
      <c r="G75" s="11" t="n">
        <v>1</v>
      </c>
    </row>
    <row r="76" customFormat="false" ht="15" hidden="false" customHeight="true" outlineLevel="0" collapsed="false">
      <c r="A76" s="12" t="n">
        <v>46203</v>
      </c>
      <c r="B76" s="11" t="s">
        <v>48</v>
      </c>
      <c r="C76" s="11" t="s">
        <v>49</v>
      </c>
      <c r="D76" s="11" t="s">
        <v>69</v>
      </c>
      <c r="E76" s="11" t="n">
        <v>8</v>
      </c>
      <c r="F76" s="11" t="n">
        <v>0</v>
      </c>
      <c r="G76" s="11" t="n">
        <v>0</v>
      </c>
    </row>
    <row r="77" customFormat="false" ht="15" hidden="false" customHeight="true" outlineLevel="0" collapsed="false">
      <c r="A77" s="12" t="n">
        <v>46174</v>
      </c>
      <c r="B77" s="11" t="s">
        <v>53</v>
      </c>
      <c r="C77" s="11" t="s">
        <v>54</v>
      </c>
      <c r="D77" s="11" t="s">
        <v>69</v>
      </c>
      <c r="E77" s="11" t="n">
        <v>8</v>
      </c>
      <c r="F77" s="11" t="n">
        <v>0</v>
      </c>
      <c r="G77" s="11" t="n">
        <v>0</v>
      </c>
    </row>
    <row r="78" customFormat="false" ht="15" hidden="false" customHeight="true" outlineLevel="0" collapsed="false">
      <c r="A78" s="12" t="n">
        <v>46175</v>
      </c>
      <c r="B78" s="11" t="s">
        <v>53</v>
      </c>
      <c r="C78" s="11" t="s">
        <v>54</v>
      </c>
      <c r="D78" s="11" t="s">
        <v>69</v>
      </c>
      <c r="E78" s="11" t="n">
        <v>8</v>
      </c>
      <c r="F78" s="11" t="n">
        <v>0</v>
      </c>
      <c r="G78" s="11" t="n">
        <v>2</v>
      </c>
    </row>
    <row r="79" customFormat="false" ht="15" hidden="false" customHeight="true" outlineLevel="0" collapsed="false">
      <c r="A79" s="12" t="n">
        <v>46176</v>
      </c>
      <c r="B79" s="11" t="s">
        <v>53</v>
      </c>
      <c r="C79" s="11" t="s">
        <v>54</v>
      </c>
      <c r="D79" s="11" t="s">
        <v>69</v>
      </c>
      <c r="E79" s="11" t="n">
        <v>8</v>
      </c>
      <c r="F79" s="11" t="n">
        <v>0</v>
      </c>
      <c r="G79" s="11" t="n">
        <v>0</v>
      </c>
    </row>
    <row r="80" customFormat="false" ht="15" hidden="false" customHeight="true" outlineLevel="0" collapsed="false">
      <c r="A80" s="12" t="n">
        <v>46177</v>
      </c>
      <c r="B80" s="11" t="s">
        <v>53</v>
      </c>
      <c r="C80" s="11" t="s">
        <v>54</v>
      </c>
      <c r="D80" s="11" t="s">
        <v>69</v>
      </c>
      <c r="E80" s="11" t="n">
        <v>8</v>
      </c>
      <c r="F80" s="11" t="n">
        <v>0</v>
      </c>
      <c r="G80" s="11" t="n">
        <v>0</v>
      </c>
    </row>
    <row r="81" customFormat="false" ht="15" hidden="false" customHeight="true" outlineLevel="0" collapsed="false">
      <c r="A81" s="12" t="n">
        <v>46178</v>
      </c>
      <c r="B81" s="11" t="s">
        <v>53</v>
      </c>
      <c r="C81" s="11" t="s">
        <v>54</v>
      </c>
      <c r="D81" s="11" t="s">
        <v>71</v>
      </c>
      <c r="E81" s="11" t="n">
        <v>0</v>
      </c>
      <c r="F81" s="11" t="n">
        <v>0</v>
      </c>
      <c r="G81" s="11" t="n">
        <v>0</v>
      </c>
    </row>
    <row r="82" customFormat="false" ht="15" hidden="false" customHeight="true" outlineLevel="0" collapsed="false">
      <c r="A82" s="12" t="n">
        <v>46179</v>
      </c>
      <c r="B82" s="11" t="s">
        <v>53</v>
      </c>
      <c r="C82" s="11" t="s">
        <v>54</v>
      </c>
      <c r="D82" s="11" t="s">
        <v>69</v>
      </c>
      <c r="E82" s="11" t="n">
        <v>8</v>
      </c>
      <c r="F82" s="11" t="n">
        <v>0</v>
      </c>
      <c r="G82" s="11" t="n">
        <v>2</v>
      </c>
    </row>
    <row r="83" customFormat="false" ht="15" hidden="false" customHeight="true" outlineLevel="0" collapsed="false">
      <c r="A83" s="12" t="n">
        <v>46181</v>
      </c>
      <c r="B83" s="11" t="s">
        <v>53</v>
      </c>
      <c r="C83" s="11" t="s">
        <v>54</v>
      </c>
      <c r="D83" s="11" t="s">
        <v>69</v>
      </c>
      <c r="E83" s="11" t="n">
        <v>8</v>
      </c>
      <c r="F83" s="11" t="n">
        <v>0</v>
      </c>
      <c r="G83" s="11" t="n">
        <v>0</v>
      </c>
    </row>
    <row r="84" customFormat="false" ht="15" hidden="false" customHeight="true" outlineLevel="0" collapsed="false">
      <c r="A84" s="12" t="n">
        <v>46182</v>
      </c>
      <c r="B84" s="11" t="s">
        <v>53</v>
      </c>
      <c r="C84" s="11" t="s">
        <v>54</v>
      </c>
      <c r="D84" s="11" t="s">
        <v>71</v>
      </c>
      <c r="E84" s="11" t="n">
        <v>0</v>
      </c>
      <c r="F84" s="11" t="n">
        <v>0</v>
      </c>
      <c r="G84" s="11" t="n">
        <v>0</v>
      </c>
    </row>
    <row r="85" customFormat="false" ht="15" hidden="false" customHeight="true" outlineLevel="0" collapsed="false">
      <c r="A85" s="12" t="n">
        <v>46183</v>
      </c>
      <c r="B85" s="11" t="s">
        <v>53</v>
      </c>
      <c r="C85" s="11" t="s">
        <v>54</v>
      </c>
      <c r="D85" s="11" t="s">
        <v>69</v>
      </c>
      <c r="E85" s="11" t="n">
        <v>8</v>
      </c>
      <c r="F85" s="11" t="n">
        <v>0</v>
      </c>
      <c r="G85" s="11" t="n">
        <v>0</v>
      </c>
    </row>
    <row r="86" customFormat="false" ht="15" hidden="false" customHeight="true" outlineLevel="0" collapsed="false">
      <c r="A86" s="12" t="n">
        <v>46184</v>
      </c>
      <c r="B86" s="11" t="s">
        <v>53</v>
      </c>
      <c r="C86" s="11" t="s">
        <v>54</v>
      </c>
      <c r="D86" s="11" t="s">
        <v>71</v>
      </c>
      <c r="E86" s="11" t="n">
        <v>0</v>
      </c>
      <c r="F86" s="11" t="n">
        <v>0</v>
      </c>
      <c r="G86" s="11" t="n">
        <v>0</v>
      </c>
    </row>
    <row r="87" customFormat="false" ht="15" hidden="false" customHeight="true" outlineLevel="0" collapsed="false">
      <c r="A87" s="12" t="n">
        <v>46185</v>
      </c>
      <c r="B87" s="11" t="s">
        <v>53</v>
      </c>
      <c r="C87" s="11" t="s">
        <v>54</v>
      </c>
      <c r="D87" s="11" t="s">
        <v>69</v>
      </c>
      <c r="E87" s="11" t="n">
        <v>8</v>
      </c>
      <c r="F87" s="11" t="n">
        <v>0</v>
      </c>
      <c r="G87" s="11" t="n">
        <v>0</v>
      </c>
    </row>
    <row r="88" customFormat="false" ht="15" hidden="false" customHeight="true" outlineLevel="0" collapsed="false">
      <c r="A88" s="12" t="n">
        <v>46186</v>
      </c>
      <c r="B88" s="11" t="s">
        <v>53</v>
      </c>
      <c r="C88" s="11" t="s">
        <v>54</v>
      </c>
      <c r="D88" s="11" t="s">
        <v>69</v>
      </c>
      <c r="E88" s="11" t="n">
        <v>8</v>
      </c>
      <c r="F88" s="11" t="n">
        <v>0</v>
      </c>
      <c r="G88" s="11" t="n">
        <v>1</v>
      </c>
    </row>
    <row r="89" customFormat="false" ht="15" hidden="false" customHeight="true" outlineLevel="0" collapsed="false">
      <c r="A89" s="12" t="n">
        <v>46188</v>
      </c>
      <c r="B89" s="11" t="s">
        <v>53</v>
      </c>
      <c r="C89" s="11" t="s">
        <v>54</v>
      </c>
      <c r="D89" s="11" t="s">
        <v>69</v>
      </c>
      <c r="E89" s="11" t="n">
        <v>8</v>
      </c>
      <c r="F89" s="11" t="n">
        <v>0</v>
      </c>
      <c r="G89" s="11" t="n">
        <v>0</v>
      </c>
    </row>
    <row r="90" customFormat="false" ht="15" hidden="false" customHeight="true" outlineLevel="0" collapsed="false">
      <c r="A90" s="12" t="n">
        <v>46189</v>
      </c>
      <c r="B90" s="11" t="s">
        <v>53</v>
      </c>
      <c r="C90" s="11" t="s">
        <v>54</v>
      </c>
      <c r="D90" s="11" t="s">
        <v>69</v>
      </c>
      <c r="E90" s="11" t="n">
        <v>8</v>
      </c>
      <c r="F90" s="11" t="n">
        <v>0</v>
      </c>
      <c r="G90" s="11" t="n">
        <v>1</v>
      </c>
    </row>
    <row r="91" customFormat="false" ht="15" hidden="false" customHeight="true" outlineLevel="0" collapsed="false">
      <c r="A91" s="12" t="n">
        <v>46190</v>
      </c>
      <c r="B91" s="11" t="s">
        <v>53</v>
      </c>
      <c r="C91" s="11" t="s">
        <v>54</v>
      </c>
      <c r="D91" s="11" t="s">
        <v>70</v>
      </c>
      <c r="E91" s="11" t="n">
        <v>7.4</v>
      </c>
      <c r="F91" s="11" t="n">
        <v>30</v>
      </c>
      <c r="G91" s="11" t="n">
        <v>1</v>
      </c>
    </row>
    <row r="92" customFormat="false" ht="15" hidden="false" customHeight="true" outlineLevel="0" collapsed="false">
      <c r="A92" s="12" t="n">
        <v>46191</v>
      </c>
      <c r="B92" s="11" t="s">
        <v>53</v>
      </c>
      <c r="C92" s="11" t="s">
        <v>54</v>
      </c>
      <c r="D92" s="11" t="s">
        <v>69</v>
      </c>
      <c r="E92" s="11" t="n">
        <v>8</v>
      </c>
      <c r="F92" s="11" t="n">
        <v>0</v>
      </c>
      <c r="G92" s="11" t="n">
        <v>1</v>
      </c>
    </row>
    <row r="93" customFormat="false" ht="15" hidden="false" customHeight="true" outlineLevel="0" collapsed="false">
      <c r="A93" s="12" t="n">
        <v>46192</v>
      </c>
      <c r="B93" s="11" t="s">
        <v>53</v>
      </c>
      <c r="C93" s="11" t="s">
        <v>54</v>
      </c>
      <c r="D93" s="11" t="s">
        <v>69</v>
      </c>
      <c r="E93" s="11" t="n">
        <v>8</v>
      </c>
      <c r="F93" s="11" t="n">
        <v>0</v>
      </c>
      <c r="G93" s="11" t="n">
        <v>1.5</v>
      </c>
    </row>
    <row r="94" customFormat="false" ht="15" hidden="false" customHeight="true" outlineLevel="0" collapsed="false">
      <c r="A94" s="12" t="n">
        <v>46195</v>
      </c>
      <c r="B94" s="11" t="s">
        <v>53</v>
      </c>
      <c r="C94" s="11" t="s">
        <v>54</v>
      </c>
      <c r="D94" s="11" t="s">
        <v>69</v>
      </c>
      <c r="E94" s="11" t="n">
        <v>8</v>
      </c>
      <c r="F94" s="11" t="n">
        <v>0</v>
      </c>
      <c r="G94" s="11" t="n">
        <v>0</v>
      </c>
    </row>
    <row r="95" customFormat="false" ht="15" hidden="false" customHeight="true" outlineLevel="0" collapsed="false">
      <c r="A95" s="12" t="n">
        <v>46196</v>
      </c>
      <c r="B95" s="11" t="s">
        <v>53</v>
      </c>
      <c r="C95" s="11" t="s">
        <v>54</v>
      </c>
      <c r="D95" s="11" t="s">
        <v>69</v>
      </c>
      <c r="E95" s="11" t="n">
        <v>8</v>
      </c>
      <c r="F95" s="11" t="n">
        <v>0</v>
      </c>
      <c r="G95" s="11" t="n">
        <v>1.5</v>
      </c>
    </row>
    <row r="96" customFormat="false" ht="15" hidden="false" customHeight="true" outlineLevel="0" collapsed="false">
      <c r="A96" s="12" t="n">
        <v>46197</v>
      </c>
      <c r="B96" s="11" t="s">
        <v>53</v>
      </c>
      <c r="C96" s="11" t="s">
        <v>54</v>
      </c>
      <c r="D96" s="11" t="s">
        <v>69</v>
      </c>
      <c r="E96" s="11" t="n">
        <v>8</v>
      </c>
      <c r="F96" s="11" t="n">
        <v>0</v>
      </c>
      <c r="G96" s="11" t="n">
        <v>0</v>
      </c>
    </row>
    <row r="97" customFormat="false" ht="15" hidden="false" customHeight="true" outlineLevel="0" collapsed="false">
      <c r="A97" s="12" t="n">
        <v>46198</v>
      </c>
      <c r="B97" s="11" t="s">
        <v>53</v>
      </c>
      <c r="C97" s="11" t="s">
        <v>54</v>
      </c>
      <c r="D97" s="11" t="s">
        <v>69</v>
      </c>
      <c r="E97" s="11" t="n">
        <v>8</v>
      </c>
      <c r="F97" s="11" t="n">
        <v>0</v>
      </c>
      <c r="G97" s="11" t="n">
        <v>0</v>
      </c>
    </row>
    <row r="98" customFormat="false" ht="15" hidden="false" customHeight="true" outlineLevel="0" collapsed="false">
      <c r="A98" s="12" t="n">
        <v>46199</v>
      </c>
      <c r="B98" s="11" t="s">
        <v>53</v>
      </c>
      <c r="C98" s="11" t="s">
        <v>54</v>
      </c>
      <c r="D98" s="11" t="s">
        <v>70</v>
      </c>
      <c r="E98" s="11" t="n">
        <v>7.2</v>
      </c>
      <c r="F98" s="11" t="n">
        <v>20</v>
      </c>
      <c r="G98" s="11" t="n">
        <v>0</v>
      </c>
    </row>
    <row r="99" customFormat="false" ht="15" hidden="false" customHeight="true" outlineLevel="0" collapsed="false">
      <c r="A99" s="12" t="n">
        <v>46200</v>
      </c>
      <c r="B99" s="11" t="s">
        <v>53</v>
      </c>
      <c r="C99" s="11" t="s">
        <v>54</v>
      </c>
      <c r="D99" s="11" t="s">
        <v>69</v>
      </c>
      <c r="E99" s="11" t="n">
        <v>8</v>
      </c>
      <c r="F99" s="11" t="n">
        <v>0</v>
      </c>
      <c r="G99" s="11" t="n">
        <v>0</v>
      </c>
    </row>
    <row r="100" customFormat="false" ht="15" hidden="false" customHeight="true" outlineLevel="0" collapsed="false">
      <c r="A100" s="12" t="n">
        <v>46202</v>
      </c>
      <c r="B100" s="11" t="s">
        <v>53</v>
      </c>
      <c r="C100" s="11" t="s">
        <v>54</v>
      </c>
      <c r="D100" s="11" t="s">
        <v>69</v>
      </c>
      <c r="E100" s="11" t="n">
        <v>8</v>
      </c>
      <c r="F100" s="11" t="n">
        <v>0</v>
      </c>
      <c r="G100" s="11" t="n">
        <v>0</v>
      </c>
    </row>
    <row r="101" customFormat="false" ht="15" hidden="false" customHeight="true" outlineLevel="0" collapsed="false">
      <c r="A101" s="12" t="n">
        <v>46203</v>
      </c>
      <c r="B101" s="11" t="s">
        <v>53</v>
      </c>
      <c r="C101" s="11" t="s">
        <v>54</v>
      </c>
      <c r="D101" s="11" t="s">
        <v>71</v>
      </c>
      <c r="E101" s="11" t="n">
        <v>0</v>
      </c>
      <c r="F101" s="11" t="n">
        <v>0</v>
      </c>
      <c r="G101" s="11" t="n">
        <v>0</v>
      </c>
    </row>
    <row r="102" customFormat="false" ht="15" hidden="false" customHeight="true" outlineLevel="0" collapsed="false">
      <c r="A102" s="12" t="n">
        <v>46174</v>
      </c>
      <c r="B102" s="11" t="s">
        <v>56</v>
      </c>
      <c r="C102" s="11" t="s">
        <v>57</v>
      </c>
      <c r="D102" s="11" t="s">
        <v>69</v>
      </c>
      <c r="E102" s="11" t="n">
        <v>8</v>
      </c>
      <c r="F102" s="11" t="n">
        <v>0</v>
      </c>
      <c r="G102" s="11" t="n">
        <v>0</v>
      </c>
    </row>
    <row r="103" customFormat="false" ht="15" hidden="false" customHeight="true" outlineLevel="0" collapsed="false">
      <c r="A103" s="12" t="n">
        <v>46175</v>
      </c>
      <c r="B103" s="11" t="s">
        <v>56</v>
      </c>
      <c r="C103" s="11" t="s">
        <v>57</v>
      </c>
      <c r="D103" s="11" t="s">
        <v>70</v>
      </c>
      <c r="E103" s="11" t="n">
        <v>7</v>
      </c>
      <c r="F103" s="11" t="n">
        <v>20</v>
      </c>
      <c r="G103" s="11" t="n">
        <v>0</v>
      </c>
    </row>
    <row r="104" customFormat="false" ht="15" hidden="false" customHeight="true" outlineLevel="0" collapsed="false">
      <c r="A104" s="12" t="n">
        <v>46176</v>
      </c>
      <c r="B104" s="11" t="s">
        <v>56</v>
      </c>
      <c r="C104" s="11" t="s">
        <v>57</v>
      </c>
      <c r="D104" s="11" t="s">
        <v>69</v>
      </c>
      <c r="E104" s="11" t="n">
        <v>8</v>
      </c>
      <c r="F104" s="11" t="n">
        <v>0</v>
      </c>
      <c r="G104" s="11" t="n">
        <v>0</v>
      </c>
    </row>
    <row r="105" customFormat="false" ht="15" hidden="false" customHeight="true" outlineLevel="0" collapsed="false">
      <c r="A105" s="12" t="n">
        <v>46177</v>
      </c>
      <c r="B105" s="11" t="s">
        <v>56</v>
      </c>
      <c r="C105" s="11" t="s">
        <v>57</v>
      </c>
      <c r="D105" s="11" t="s">
        <v>69</v>
      </c>
      <c r="E105" s="11" t="n">
        <v>8</v>
      </c>
      <c r="F105" s="11" t="n">
        <v>0</v>
      </c>
      <c r="G105" s="11" t="n">
        <v>0</v>
      </c>
    </row>
    <row r="106" customFormat="false" ht="15" hidden="false" customHeight="true" outlineLevel="0" collapsed="false">
      <c r="A106" s="12" t="n">
        <v>46178</v>
      </c>
      <c r="B106" s="11" t="s">
        <v>56</v>
      </c>
      <c r="C106" s="11" t="s">
        <v>57</v>
      </c>
      <c r="D106" s="11" t="s">
        <v>69</v>
      </c>
      <c r="E106" s="11" t="n">
        <v>8</v>
      </c>
      <c r="F106" s="11" t="n">
        <v>0</v>
      </c>
      <c r="G106" s="11" t="n">
        <v>1.5</v>
      </c>
    </row>
    <row r="107" customFormat="false" ht="15" hidden="false" customHeight="true" outlineLevel="0" collapsed="false">
      <c r="A107" s="12" t="n">
        <v>46179</v>
      </c>
      <c r="B107" s="11" t="s">
        <v>56</v>
      </c>
      <c r="C107" s="11" t="s">
        <v>57</v>
      </c>
      <c r="D107" s="11" t="s">
        <v>69</v>
      </c>
      <c r="E107" s="11" t="n">
        <v>8</v>
      </c>
      <c r="F107" s="11" t="n">
        <v>0</v>
      </c>
      <c r="G107" s="11" t="n">
        <v>1</v>
      </c>
    </row>
    <row r="108" customFormat="false" ht="15" hidden="false" customHeight="true" outlineLevel="0" collapsed="false">
      <c r="A108" s="12" t="n">
        <v>46181</v>
      </c>
      <c r="B108" s="11" t="s">
        <v>56</v>
      </c>
      <c r="C108" s="11" t="s">
        <v>57</v>
      </c>
      <c r="D108" s="11" t="s">
        <v>69</v>
      </c>
      <c r="E108" s="11" t="n">
        <v>8</v>
      </c>
      <c r="F108" s="11" t="n">
        <v>0</v>
      </c>
      <c r="G108" s="11" t="n">
        <v>0</v>
      </c>
    </row>
    <row r="109" customFormat="false" ht="15" hidden="false" customHeight="true" outlineLevel="0" collapsed="false">
      <c r="A109" s="12" t="n">
        <v>46182</v>
      </c>
      <c r="B109" s="11" t="s">
        <v>56</v>
      </c>
      <c r="C109" s="11" t="s">
        <v>57</v>
      </c>
      <c r="D109" s="11" t="s">
        <v>69</v>
      </c>
      <c r="E109" s="11" t="n">
        <v>8</v>
      </c>
      <c r="F109" s="11" t="n">
        <v>0</v>
      </c>
      <c r="G109" s="11" t="n">
        <v>2</v>
      </c>
    </row>
    <row r="110" customFormat="false" ht="15" hidden="false" customHeight="true" outlineLevel="0" collapsed="false">
      <c r="A110" s="12" t="n">
        <v>46183</v>
      </c>
      <c r="B110" s="11" t="s">
        <v>56</v>
      </c>
      <c r="C110" s="11" t="s">
        <v>57</v>
      </c>
      <c r="D110" s="11" t="s">
        <v>69</v>
      </c>
      <c r="E110" s="11" t="n">
        <v>8</v>
      </c>
      <c r="F110" s="11" t="n">
        <v>0</v>
      </c>
      <c r="G110" s="11" t="n">
        <v>0</v>
      </c>
    </row>
    <row r="111" customFormat="false" ht="15" hidden="false" customHeight="true" outlineLevel="0" collapsed="false">
      <c r="A111" s="12" t="n">
        <v>46184</v>
      </c>
      <c r="B111" s="11" t="s">
        <v>56</v>
      </c>
      <c r="C111" s="11" t="s">
        <v>57</v>
      </c>
      <c r="D111" s="11" t="s">
        <v>70</v>
      </c>
      <c r="E111" s="11" t="n">
        <v>7.3</v>
      </c>
      <c r="F111" s="11" t="n">
        <v>25</v>
      </c>
      <c r="G111" s="11" t="n">
        <v>1</v>
      </c>
    </row>
    <row r="112" customFormat="false" ht="15" hidden="false" customHeight="true" outlineLevel="0" collapsed="false">
      <c r="A112" s="12" t="n">
        <v>46185</v>
      </c>
      <c r="B112" s="11" t="s">
        <v>56</v>
      </c>
      <c r="C112" s="11" t="s">
        <v>57</v>
      </c>
      <c r="D112" s="11" t="s">
        <v>69</v>
      </c>
      <c r="E112" s="11" t="n">
        <v>8</v>
      </c>
      <c r="F112" s="11" t="n">
        <v>0</v>
      </c>
      <c r="G112" s="11" t="n">
        <v>1.5</v>
      </c>
    </row>
    <row r="113" customFormat="false" ht="15" hidden="false" customHeight="true" outlineLevel="0" collapsed="false">
      <c r="A113" s="12" t="n">
        <v>46186</v>
      </c>
      <c r="B113" s="11" t="s">
        <v>56</v>
      </c>
      <c r="C113" s="11" t="s">
        <v>57</v>
      </c>
      <c r="D113" s="11" t="s">
        <v>70</v>
      </c>
      <c r="E113" s="11" t="n">
        <v>7.5</v>
      </c>
      <c r="F113" s="11" t="n">
        <v>45</v>
      </c>
      <c r="G113" s="11" t="n">
        <v>0</v>
      </c>
    </row>
    <row r="114" customFormat="false" ht="15" hidden="false" customHeight="true" outlineLevel="0" collapsed="false">
      <c r="A114" s="12" t="n">
        <v>46188</v>
      </c>
      <c r="B114" s="11" t="s">
        <v>56</v>
      </c>
      <c r="C114" s="11" t="s">
        <v>57</v>
      </c>
      <c r="D114" s="11" t="s">
        <v>70</v>
      </c>
      <c r="E114" s="11" t="n">
        <v>7.6</v>
      </c>
      <c r="F114" s="11" t="n">
        <v>10</v>
      </c>
      <c r="G114" s="11" t="n">
        <v>0</v>
      </c>
    </row>
    <row r="115" customFormat="false" ht="15" hidden="false" customHeight="true" outlineLevel="0" collapsed="false">
      <c r="A115" s="12" t="n">
        <v>46189</v>
      </c>
      <c r="B115" s="11" t="s">
        <v>56</v>
      </c>
      <c r="C115" s="11" t="s">
        <v>57</v>
      </c>
      <c r="D115" s="11" t="s">
        <v>69</v>
      </c>
      <c r="E115" s="11" t="n">
        <v>8</v>
      </c>
      <c r="F115" s="11" t="n">
        <v>0</v>
      </c>
      <c r="G115" s="11" t="n">
        <v>1</v>
      </c>
    </row>
    <row r="116" customFormat="false" ht="15" hidden="false" customHeight="true" outlineLevel="0" collapsed="false">
      <c r="A116" s="12" t="n">
        <v>46190</v>
      </c>
      <c r="B116" s="11" t="s">
        <v>56</v>
      </c>
      <c r="C116" s="11" t="s">
        <v>57</v>
      </c>
      <c r="D116" s="11" t="s">
        <v>69</v>
      </c>
      <c r="E116" s="11" t="n">
        <v>8</v>
      </c>
      <c r="F116" s="11" t="n">
        <v>0</v>
      </c>
      <c r="G116" s="11" t="n">
        <v>0</v>
      </c>
    </row>
    <row r="117" customFormat="false" ht="15" hidden="false" customHeight="true" outlineLevel="0" collapsed="false">
      <c r="A117" s="12" t="n">
        <v>46191</v>
      </c>
      <c r="B117" s="11" t="s">
        <v>56</v>
      </c>
      <c r="C117" s="11" t="s">
        <v>57</v>
      </c>
      <c r="D117" s="11" t="s">
        <v>69</v>
      </c>
      <c r="E117" s="11" t="n">
        <v>8</v>
      </c>
      <c r="F117" s="11" t="n">
        <v>0</v>
      </c>
      <c r="G117" s="11" t="n">
        <v>0</v>
      </c>
    </row>
    <row r="118" customFormat="false" ht="15" hidden="false" customHeight="true" outlineLevel="0" collapsed="false">
      <c r="A118" s="12" t="n">
        <v>46192</v>
      </c>
      <c r="B118" s="11" t="s">
        <v>56</v>
      </c>
      <c r="C118" s="11" t="s">
        <v>57</v>
      </c>
      <c r="D118" s="11" t="s">
        <v>69</v>
      </c>
      <c r="E118" s="11" t="n">
        <v>8</v>
      </c>
      <c r="F118" s="11" t="n">
        <v>0</v>
      </c>
      <c r="G118" s="11" t="n">
        <v>0</v>
      </c>
    </row>
    <row r="119" customFormat="false" ht="15" hidden="false" customHeight="true" outlineLevel="0" collapsed="false">
      <c r="A119" s="12" t="n">
        <v>46195</v>
      </c>
      <c r="B119" s="11" t="s">
        <v>56</v>
      </c>
      <c r="C119" s="11" t="s">
        <v>57</v>
      </c>
      <c r="D119" s="11" t="s">
        <v>69</v>
      </c>
      <c r="E119" s="11" t="n">
        <v>8</v>
      </c>
      <c r="F119" s="11" t="n">
        <v>0</v>
      </c>
      <c r="G119" s="11" t="n">
        <v>2</v>
      </c>
    </row>
    <row r="120" customFormat="false" ht="15" hidden="false" customHeight="true" outlineLevel="0" collapsed="false">
      <c r="A120" s="12" t="n">
        <v>46196</v>
      </c>
      <c r="B120" s="11" t="s">
        <v>56</v>
      </c>
      <c r="C120" s="11" t="s">
        <v>57</v>
      </c>
      <c r="D120" s="11" t="s">
        <v>69</v>
      </c>
      <c r="E120" s="11" t="n">
        <v>8</v>
      </c>
      <c r="F120" s="11" t="n">
        <v>0</v>
      </c>
      <c r="G120" s="11" t="n">
        <v>0</v>
      </c>
    </row>
    <row r="121" customFormat="false" ht="15" hidden="false" customHeight="true" outlineLevel="0" collapsed="false">
      <c r="A121" s="12" t="n">
        <v>46197</v>
      </c>
      <c r="B121" s="11" t="s">
        <v>56</v>
      </c>
      <c r="C121" s="11" t="s">
        <v>57</v>
      </c>
      <c r="D121" s="11" t="s">
        <v>70</v>
      </c>
      <c r="E121" s="11" t="n">
        <v>7.8</v>
      </c>
      <c r="F121" s="11" t="n">
        <v>10</v>
      </c>
      <c r="G121" s="11" t="n">
        <v>0</v>
      </c>
    </row>
    <row r="122" customFormat="false" ht="15" hidden="false" customHeight="true" outlineLevel="0" collapsed="false">
      <c r="A122" s="12" t="n">
        <v>46198</v>
      </c>
      <c r="B122" s="11" t="s">
        <v>56</v>
      </c>
      <c r="C122" s="11" t="s">
        <v>57</v>
      </c>
      <c r="D122" s="11" t="s">
        <v>69</v>
      </c>
      <c r="E122" s="11" t="n">
        <v>8</v>
      </c>
      <c r="F122" s="11" t="n">
        <v>0</v>
      </c>
      <c r="G122" s="11" t="n">
        <v>2</v>
      </c>
    </row>
    <row r="123" customFormat="false" ht="15" hidden="false" customHeight="true" outlineLevel="0" collapsed="false">
      <c r="A123" s="12" t="n">
        <v>46199</v>
      </c>
      <c r="B123" s="11" t="s">
        <v>56</v>
      </c>
      <c r="C123" s="11" t="s">
        <v>57</v>
      </c>
      <c r="D123" s="11" t="s">
        <v>69</v>
      </c>
      <c r="E123" s="11" t="n">
        <v>8</v>
      </c>
      <c r="F123" s="11" t="n">
        <v>0</v>
      </c>
      <c r="G123" s="11" t="n">
        <v>0</v>
      </c>
    </row>
    <row r="124" customFormat="false" ht="15" hidden="false" customHeight="true" outlineLevel="0" collapsed="false">
      <c r="A124" s="12" t="n">
        <v>46200</v>
      </c>
      <c r="B124" s="11" t="s">
        <v>56</v>
      </c>
      <c r="C124" s="11" t="s">
        <v>57</v>
      </c>
      <c r="D124" s="11" t="s">
        <v>69</v>
      </c>
      <c r="E124" s="11" t="n">
        <v>8</v>
      </c>
      <c r="F124" s="11" t="n">
        <v>0</v>
      </c>
      <c r="G124" s="11" t="n">
        <v>0</v>
      </c>
    </row>
    <row r="125" customFormat="false" ht="15" hidden="false" customHeight="true" outlineLevel="0" collapsed="false">
      <c r="A125" s="12" t="n">
        <v>46202</v>
      </c>
      <c r="B125" s="11" t="s">
        <v>56</v>
      </c>
      <c r="C125" s="11" t="s">
        <v>57</v>
      </c>
      <c r="D125" s="11" t="s">
        <v>69</v>
      </c>
      <c r="E125" s="11" t="n">
        <v>8</v>
      </c>
      <c r="F125" s="11" t="n">
        <v>0</v>
      </c>
      <c r="G125" s="11" t="n">
        <v>0</v>
      </c>
    </row>
    <row r="126" customFormat="false" ht="15" hidden="false" customHeight="true" outlineLevel="0" collapsed="false">
      <c r="A126" s="12" t="n">
        <v>46203</v>
      </c>
      <c r="B126" s="11" t="s">
        <v>56</v>
      </c>
      <c r="C126" s="11" t="s">
        <v>57</v>
      </c>
      <c r="D126" s="11" t="s">
        <v>69</v>
      </c>
      <c r="E126" s="11" t="n">
        <v>8</v>
      </c>
      <c r="F126" s="11" t="n">
        <v>0</v>
      </c>
      <c r="G126" s="11" t="n">
        <v>0</v>
      </c>
    </row>
  </sheetData>
  <conditionalFormatting sqref="D2:D126">
    <cfRule type="cellIs" priority="2" operator="equal" aboveAverage="0" equalAverage="0" bottom="0" percent="0" rank="0" text="" dxfId="8">
      <formula>"Ausente"</formula>
    </cfRule>
    <cfRule type="cellIs" priority="3" operator="equal" aboveAverage="0" equalAverage="0" bottom="0" percent="0" rank="0" text="" dxfId="9">
      <formula>"Tardanza"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23.25" hidden="false" customHeight="true" outlineLevel="0" collapsed="false">
      <c r="A1" s="6" t="s">
        <v>59</v>
      </c>
      <c r="B1" s="6" t="s">
        <v>16</v>
      </c>
      <c r="C1" s="6" t="s">
        <v>17</v>
      </c>
      <c r="D1" s="6" t="s">
        <v>72</v>
      </c>
      <c r="E1" s="6" t="s">
        <v>73</v>
      </c>
      <c r="F1" s="6" t="s">
        <v>74</v>
      </c>
      <c r="G1" s="6" t="s">
        <v>75</v>
      </c>
    </row>
    <row r="2" customFormat="false" ht="15" hidden="false" customHeight="true" outlineLevel="0" collapsed="false">
      <c r="A2" s="12" t="n">
        <v>46174</v>
      </c>
      <c r="B2" s="11" t="s">
        <v>39</v>
      </c>
      <c r="C2" s="11" t="s">
        <v>40</v>
      </c>
      <c r="D2" s="11" t="s">
        <v>76</v>
      </c>
      <c r="E2" s="11" t="s">
        <v>77</v>
      </c>
      <c r="F2" s="11" t="s">
        <v>78</v>
      </c>
      <c r="G2" s="11" t="s">
        <v>79</v>
      </c>
    </row>
    <row r="3" customFormat="false" ht="15" hidden="false" customHeight="true" outlineLevel="0" collapsed="false">
      <c r="A3" s="12" t="n">
        <v>46174</v>
      </c>
      <c r="B3" s="11" t="s">
        <v>53</v>
      </c>
      <c r="C3" s="11" t="s">
        <v>54</v>
      </c>
      <c r="D3" s="11" t="s">
        <v>76</v>
      </c>
      <c r="E3" s="11" t="s">
        <v>77</v>
      </c>
      <c r="F3" s="11" t="s">
        <v>78</v>
      </c>
      <c r="G3" s="11" t="s">
        <v>79</v>
      </c>
    </row>
    <row r="4" customFormat="false" ht="15" hidden="false" customHeight="true" outlineLevel="0" collapsed="false">
      <c r="A4" s="12" t="n">
        <v>46175</v>
      </c>
      <c r="B4" s="11" t="s">
        <v>39</v>
      </c>
      <c r="C4" s="11" t="s">
        <v>40</v>
      </c>
      <c r="D4" s="11" t="s">
        <v>76</v>
      </c>
      <c r="E4" s="11" t="s">
        <v>77</v>
      </c>
      <c r="F4" s="11" t="s">
        <v>78</v>
      </c>
      <c r="G4" s="11" t="s">
        <v>79</v>
      </c>
    </row>
    <row r="5" customFormat="false" ht="15" hidden="false" customHeight="true" outlineLevel="0" collapsed="false">
      <c r="A5" s="12" t="n">
        <v>46176</v>
      </c>
      <c r="B5" s="11" t="s">
        <v>56</v>
      </c>
      <c r="C5" s="11" t="s">
        <v>57</v>
      </c>
      <c r="D5" s="11" t="s">
        <v>76</v>
      </c>
      <c r="E5" s="11" t="s">
        <v>77</v>
      </c>
      <c r="F5" s="11" t="s">
        <v>78</v>
      </c>
      <c r="G5" s="11" t="s">
        <v>79</v>
      </c>
    </row>
    <row r="6" customFormat="false" ht="15" hidden="false" customHeight="true" outlineLevel="0" collapsed="false">
      <c r="A6" s="12" t="n">
        <v>46182</v>
      </c>
      <c r="B6" s="11" t="s">
        <v>44</v>
      </c>
      <c r="C6" s="11" t="s">
        <v>45</v>
      </c>
      <c r="D6" s="11" t="s">
        <v>76</v>
      </c>
      <c r="E6" s="11" t="s">
        <v>77</v>
      </c>
      <c r="F6" s="11" t="s">
        <v>78</v>
      </c>
      <c r="G6" s="11" t="s">
        <v>79</v>
      </c>
    </row>
    <row r="7" customFormat="false" ht="15" hidden="false" customHeight="true" outlineLevel="0" collapsed="false">
      <c r="A7" s="12" t="n">
        <v>46182</v>
      </c>
      <c r="B7" s="11" t="s">
        <v>48</v>
      </c>
      <c r="C7" s="11" t="s">
        <v>49</v>
      </c>
      <c r="D7" s="11" t="s">
        <v>76</v>
      </c>
      <c r="E7" s="11" t="s">
        <v>77</v>
      </c>
      <c r="F7" s="11" t="s">
        <v>78</v>
      </c>
      <c r="G7" s="11" t="s">
        <v>79</v>
      </c>
    </row>
    <row r="8" customFormat="false" ht="15" hidden="false" customHeight="true" outlineLevel="0" collapsed="false">
      <c r="A8" s="12" t="n">
        <v>46183</v>
      </c>
      <c r="B8" s="11" t="s">
        <v>53</v>
      </c>
      <c r="C8" s="11" t="s">
        <v>54</v>
      </c>
      <c r="D8" s="11" t="s">
        <v>76</v>
      </c>
      <c r="E8" s="11" t="s">
        <v>77</v>
      </c>
      <c r="F8" s="11" t="s">
        <v>78</v>
      </c>
      <c r="G8" s="11" t="s">
        <v>79</v>
      </c>
    </row>
    <row r="9" customFormat="false" ht="15" hidden="false" customHeight="true" outlineLevel="0" collapsed="false">
      <c r="A9" s="12" t="n">
        <v>46184</v>
      </c>
      <c r="B9" s="11" t="s">
        <v>39</v>
      </c>
      <c r="C9" s="11" t="s">
        <v>40</v>
      </c>
      <c r="D9" s="11" t="s">
        <v>76</v>
      </c>
      <c r="E9" s="11" t="s">
        <v>77</v>
      </c>
      <c r="F9" s="11" t="s">
        <v>78</v>
      </c>
      <c r="G9" s="11" t="s">
        <v>79</v>
      </c>
    </row>
    <row r="10" customFormat="false" ht="15" hidden="false" customHeight="true" outlineLevel="0" collapsed="false">
      <c r="A10" s="12" t="n">
        <v>46186</v>
      </c>
      <c r="B10" s="11" t="s">
        <v>56</v>
      </c>
      <c r="C10" s="11" t="s">
        <v>57</v>
      </c>
      <c r="D10" s="11" t="s">
        <v>76</v>
      </c>
      <c r="E10" s="11" t="s">
        <v>77</v>
      </c>
      <c r="F10" s="11" t="s">
        <v>78</v>
      </c>
      <c r="G10" s="11" t="s">
        <v>79</v>
      </c>
    </row>
    <row r="11" customFormat="false" ht="15" hidden="false" customHeight="true" outlineLevel="0" collapsed="false">
      <c r="A11" s="12" t="n">
        <v>46188</v>
      </c>
      <c r="B11" s="11" t="s">
        <v>48</v>
      </c>
      <c r="C11" s="11" t="s">
        <v>49</v>
      </c>
      <c r="D11" s="11" t="s">
        <v>76</v>
      </c>
      <c r="E11" s="11" t="s">
        <v>77</v>
      </c>
      <c r="F11" s="11" t="s">
        <v>78</v>
      </c>
      <c r="G11" s="11" t="s">
        <v>79</v>
      </c>
    </row>
    <row r="12" customFormat="false" ht="15" hidden="false" customHeight="true" outlineLevel="0" collapsed="false">
      <c r="A12" s="12" t="n">
        <v>46189</v>
      </c>
      <c r="B12" s="11" t="s">
        <v>44</v>
      </c>
      <c r="C12" s="11" t="s">
        <v>45</v>
      </c>
      <c r="D12" s="11" t="s">
        <v>76</v>
      </c>
      <c r="E12" s="11" t="s">
        <v>77</v>
      </c>
      <c r="F12" s="11" t="s">
        <v>78</v>
      </c>
      <c r="G12" s="11" t="s">
        <v>79</v>
      </c>
    </row>
    <row r="13" customFormat="false" ht="15" hidden="false" customHeight="true" outlineLevel="0" collapsed="false">
      <c r="A13" s="12" t="n">
        <v>46190</v>
      </c>
      <c r="B13" s="11" t="s">
        <v>53</v>
      </c>
      <c r="C13" s="11" t="s">
        <v>54</v>
      </c>
      <c r="D13" s="11" t="s">
        <v>76</v>
      </c>
      <c r="E13" s="11" t="s">
        <v>77</v>
      </c>
      <c r="F13" s="11" t="s">
        <v>78</v>
      </c>
      <c r="G13" s="11" t="s">
        <v>79</v>
      </c>
    </row>
    <row r="14" customFormat="false" ht="15" hidden="false" customHeight="true" outlineLevel="0" collapsed="false">
      <c r="A14" s="12" t="n">
        <v>46190</v>
      </c>
      <c r="B14" s="11" t="s">
        <v>56</v>
      </c>
      <c r="C14" s="11" t="s">
        <v>57</v>
      </c>
      <c r="D14" s="11" t="s">
        <v>76</v>
      </c>
      <c r="E14" s="11" t="s">
        <v>77</v>
      </c>
      <c r="F14" s="11" t="s">
        <v>78</v>
      </c>
      <c r="G14" s="11" t="s">
        <v>79</v>
      </c>
    </row>
    <row r="15" customFormat="false" ht="15" hidden="false" customHeight="true" outlineLevel="0" collapsed="false">
      <c r="A15" s="12" t="n">
        <v>46192</v>
      </c>
      <c r="B15" s="11" t="s">
        <v>44</v>
      </c>
      <c r="C15" s="11" t="s">
        <v>45</v>
      </c>
      <c r="D15" s="11" t="s">
        <v>76</v>
      </c>
      <c r="E15" s="11" t="s">
        <v>77</v>
      </c>
      <c r="F15" s="11" t="s">
        <v>78</v>
      </c>
      <c r="G15" s="11" t="s">
        <v>79</v>
      </c>
    </row>
    <row r="16" customFormat="false" ht="15" hidden="false" customHeight="true" outlineLevel="0" collapsed="false">
      <c r="A16" s="12" t="n">
        <v>46196</v>
      </c>
      <c r="B16" s="11" t="s">
        <v>44</v>
      </c>
      <c r="C16" s="11" t="s">
        <v>45</v>
      </c>
      <c r="D16" s="11" t="s">
        <v>76</v>
      </c>
      <c r="E16" s="11" t="s">
        <v>77</v>
      </c>
      <c r="F16" s="11" t="s">
        <v>78</v>
      </c>
      <c r="G16" s="11" t="s">
        <v>79</v>
      </c>
    </row>
    <row r="17" customFormat="false" ht="15" hidden="false" customHeight="true" outlineLevel="0" collapsed="false">
      <c r="A17" s="12" t="n">
        <v>46196</v>
      </c>
      <c r="B17" s="11" t="s">
        <v>56</v>
      </c>
      <c r="C17" s="11" t="s">
        <v>57</v>
      </c>
      <c r="D17" s="11" t="s">
        <v>76</v>
      </c>
      <c r="E17" s="11" t="s">
        <v>77</v>
      </c>
      <c r="F17" s="11" t="s">
        <v>78</v>
      </c>
      <c r="G17" s="11" t="s">
        <v>79</v>
      </c>
    </row>
    <row r="18" customFormat="false" ht="15" hidden="false" customHeight="true" outlineLevel="0" collapsed="false">
      <c r="A18" s="12" t="n">
        <v>46197</v>
      </c>
      <c r="B18" s="11" t="s">
        <v>48</v>
      </c>
      <c r="C18" s="11" t="s">
        <v>49</v>
      </c>
      <c r="D18" s="11" t="s">
        <v>76</v>
      </c>
      <c r="E18" s="11" t="s">
        <v>77</v>
      </c>
      <c r="F18" s="11" t="s">
        <v>78</v>
      </c>
      <c r="G18" s="11" t="s">
        <v>79</v>
      </c>
    </row>
    <row r="19" customFormat="false" ht="15" hidden="false" customHeight="true" outlineLevel="0" collapsed="false">
      <c r="A19" s="12" t="n">
        <v>46199</v>
      </c>
      <c r="B19" s="11" t="s">
        <v>48</v>
      </c>
      <c r="C19" s="11" t="s">
        <v>49</v>
      </c>
      <c r="D19" s="11" t="s">
        <v>76</v>
      </c>
      <c r="E19" s="11" t="s">
        <v>77</v>
      </c>
      <c r="F19" s="11" t="s">
        <v>78</v>
      </c>
      <c r="G19" s="11" t="s">
        <v>79</v>
      </c>
    </row>
    <row r="20" customFormat="false" ht="15" hidden="false" customHeight="true" outlineLevel="0" collapsed="false">
      <c r="A20" s="12" t="n">
        <v>46199</v>
      </c>
      <c r="B20" s="11" t="s">
        <v>53</v>
      </c>
      <c r="C20" s="11" t="s">
        <v>54</v>
      </c>
      <c r="D20" s="11" t="s">
        <v>76</v>
      </c>
      <c r="E20" s="11" t="s">
        <v>77</v>
      </c>
      <c r="F20" s="11" t="s">
        <v>78</v>
      </c>
      <c r="G20" s="11" t="s">
        <v>79</v>
      </c>
    </row>
    <row r="21" customFormat="false" ht="15" hidden="false" customHeight="true" outlineLevel="0" collapsed="false">
      <c r="A21" s="12" t="n">
        <v>46200</v>
      </c>
      <c r="B21" s="11" t="s">
        <v>39</v>
      </c>
      <c r="C21" s="11" t="s">
        <v>40</v>
      </c>
      <c r="D21" s="11" t="s">
        <v>76</v>
      </c>
      <c r="E21" s="11" t="s">
        <v>77</v>
      </c>
      <c r="F21" s="11" t="s">
        <v>78</v>
      </c>
      <c r="G21" s="11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23.25" hidden="false" customHeight="true" outlineLevel="0" collapsed="false">
      <c r="A1" s="6" t="s">
        <v>16</v>
      </c>
      <c r="B1" s="6" t="s">
        <v>17</v>
      </c>
      <c r="C1" s="6" t="s">
        <v>80</v>
      </c>
      <c r="D1" s="6" t="s">
        <v>66</v>
      </c>
      <c r="E1" s="6" t="s">
        <v>81</v>
      </c>
      <c r="F1" s="6" t="s">
        <v>82</v>
      </c>
    </row>
    <row r="2" customFormat="false" ht="15" hidden="false" customHeight="true" outlineLevel="0" collapsed="false">
      <c r="A2" s="11" t="s">
        <v>39</v>
      </c>
      <c r="B2" s="11" t="s">
        <v>40</v>
      </c>
      <c r="C2" s="11" t="s">
        <v>83</v>
      </c>
      <c r="D2" s="11" t="s">
        <v>84</v>
      </c>
      <c r="E2" s="12" t="n">
        <v>46043</v>
      </c>
      <c r="F2" s="11" t="n">
        <v>8</v>
      </c>
    </row>
    <row r="3" customFormat="false" ht="15" hidden="false" customHeight="true" outlineLevel="0" collapsed="false">
      <c r="A3" s="11" t="s">
        <v>39</v>
      </c>
      <c r="B3" s="11" t="s">
        <v>40</v>
      </c>
      <c r="C3" s="11" t="s">
        <v>85</v>
      </c>
      <c r="D3" s="11" t="s">
        <v>84</v>
      </c>
      <c r="E3" s="12" t="n">
        <v>45872</v>
      </c>
      <c r="F3" s="11" t="n">
        <v>6</v>
      </c>
    </row>
    <row r="4" customFormat="false" ht="15" hidden="false" customHeight="true" outlineLevel="0" collapsed="false">
      <c r="A4" s="11" t="s">
        <v>39</v>
      </c>
      <c r="B4" s="11" t="s">
        <v>40</v>
      </c>
      <c r="C4" s="11" t="s">
        <v>86</v>
      </c>
      <c r="D4" s="11" t="s">
        <v>84</v>
      </c>
      <c r="E4" s="12" t="n">
        <v>45870</v>
      </c>
      <c r="F4" s="11" t="n">
        <v>6</v>
      </c>
    </row>
    <row r="5" customFormat="false" ht="15" hidden="false" customHeight="true" outlineLevel="0" collapsed="false">
      <c r="A5" s="11" t="s">
        <v>39</v>
      </c>
      <c r="B5" s="11" t="s">
        <v>40</v>
      </c>
      <c r="C5" s="11" t="s">
        <v>87</v>
      </c>
      <c r="D5" s="11" t="s">
        <v>84</v>
      </c>
      <c r="E5" s="12" t="n">
        <v>45806</v>
      </c>
      <c r="F5" s="11" t="n">
        <v>6</v>
      </c>
    </row>
    <row r="6" customFormat="false" ht="15" hidden="false" customHeight="true" outlineLevel="0" collapsed="false">
      <c r="A6" s="11" t="s">
        <v>39</v>
      </c>
      <c r="B6" s="11" t="s">
        <v>40</v>
      </c>
      <c r="C6" s="11" t="s">
        <v>88</v>
      </c>
      <c r="D6" s="11" t="s">
        <v>84</v>
      </c>
      <c r="E6" s="12" t="n">
        <v>46153</v>
      </c>
      <c r="F6" s="11" t="n">
        <v>8</v>
      </c>
    </row>
    <row r="7" customFormat="false" ht="15" hidden="false" customHeight="true" outlineLevel="0" collapsed="false">
      <c r="A7" s="11" t="s">
        <v>44</v>
      </c>
      <c r="B7" s="11" t="s">
        <v>45</v>
      </c>
      <c r="C7" s="11" t="s">
        <v>83</v>
      </c>
      <c r="D7" s="11" t="s">
        <v>84</v>
      </c>
      <c r="E7" s="12" t="n">
        <v>45813</v>
      </c>
      <c r="F7" s="11" t="n">
        <v>2</v>
      </c>
    </row>
    <row r="8" customFormat="false" ht="15" hidden="false" customHeight="true" outlineLevel="0" collapsed="false">
      <c r="A8" s="11" t="s">
        <v>44</v>
      </c>
      <c r="B8" s="11" t="s">
        <v>45</v>
      </c>
      <c r="C8" s="11" t="s">
        <v>85</v>
      </c>
      <c r="D8" s="11" t="s">
        <v>89</v>
      </c>
      <c r="E8" s="11"/>
      <c r="F8" s="11" t="n">
        <v>6</v>
      </c>
    </row>
    <row r="9" customFormat="false" ht="15" hidden="false" customHeight="true" outlineLevel="0" collapsed="false">
      <c r="A9" s="11" t="s">
        <v>44</v>
      </c>
      <c r="B9" s="11" t="s">
        <v>45</v>
      </c>
      <c r="C9" s="11" t="s">
        <v>86</v>
      </c>
      <c r="D9" s="11" t="s">
        <v>84</v>
      </c>
      <c r="E9" s="12" t="n">
        <v>46047</v>
      </c>
      <c r="F9" s="11" t="n">
        <v>6</v>
      </c>
    </row>
    <row r="10" customFormat="false" ht="15" hidden="false" customHeight="true" outlineLevel="0" collapsed="false">
      <c r="A10" s="11" t="s">
        <v>44</v>
      </c>
      <c r="B10" s="11" t="s">
        <v>45</v>
      </c>
      <c r="C10" s="11" t="s">
        <v>87</v>
      </c>
      <c r="D10" s="11" t="s">
        <v>90</v>
      </c>
      <c r="E10" s="11"/>
      <c r="F10" s="11" t="n">
        <v>4</v>
      </c>
    </row>
    <row r="11" customFormat="false" ht="15" hidden="false" customHeight="true" outlineLevel="0" collapsed="false">
      <c r="A11" s="11" t="s">
        <v>44</v>
      </c>
      <c r="B11" s="11" t="s">
        <v>45</v>
      </c>
      <c r="C11" s="11" t="s">
        <v>88</v>
      </c>
      <c r="D11" s="11" t="s">
        <v>84</v>
      </c>
      <c r="E11" s="12" t="n">
        <v>45847</v>
      </c>
      <c r="F11" s="11" t="n">
        <v>6</v>
      </c>
    </row>
    <row r="12" customFormat="false" ht="15" hidden="false" customHeight="true" outlineLevel="0" collapsed="false">
      <c r="A12" s="11" t="s">
        <v>48</v>
      </c>
      <c r="B12" s="11" t="s">
        <v>49</v>
      </c>
      <c r="C12" s="11" t="s">
        <v>83</v>
      </c>
      <c r="D12" s="11" t="s">
        <v>84</v>
      </c>
      <c r="E12" s="12" t="n">
        <v>45939</v>
      </c>
      <c r="F12" s="11" t="n">
        <v>2</v>
      </c>
    </row>
    <row r="13" customFormat="false" ht="15" hidden="false" customHeight="true" outlineLevel="0" collapsed="false">
      <c r="A13" s="11" t="s">
        <v>48</v>
      </c>
      <c r="B13" s="11" t="s">
        <v>49</v>
      </c>
      <c r="C13" s="11" t="s">
        <v>85</v>
      </c>
      <c r="D13" s="11" t="s">
        <v>84</v>
      </c>
      <c r="E13" s="12" t="n">
        <v>45868</v>
      </c>
      <c r="F13" s="11" t="n">
        <v>6</v>
      </c>
    </row>
    <row r="14" customFormat="false" ht="15" hidden="false" customHeight="true" outlineLevel="0" collapsed="false">
      <c r="A14" s="11" t="s">
        <v>48</v>
      </c>
      <c r="B14" s="11" t="s">
        <v>49</v>
      </c>
      <c r="C14" s="11" t="s">
        <v>86</v>
      </c>
      <c r="D14" s="11" t="s">
        <v>84</v>
      </c>
      <c r="E14" s="12" t="n">
        <v>45790</v>
      </c>
      <c r="F14" s="11" t="n">
        <v>4</v>
      </c>
    </row>
    <row r="15" customFormat="false" ht="15" hidden="false" customHeight="true" outlineLevel="0" collapsed="false">
      <c r="A15" s="11" t="s">
        <v>48</v>
      </c>
      <c r="B15" s="11" t="s">
        <v>49</v>
      </c>
      <c r="C15" s="11" t="s">
        <v>87</v>
      </c>
      <c r="D15" s="11" t="s">
        <v>84</v>
      </c>
      <c r="E15" s="12" t="n">
        <v>46118</v>
      </c>
      <c r="F15" s="11" t="n">
        <v>6</v>
      </c>
    </row>
    <row r="16" customFormat="false" ht="15" hidden="false" customHeight="true" outlineLevel="0" collapsed="false">
      <c r="A16" s="11" t="s">
        <v>48</v>
      </c>
      <c r="B16" s="11" t="s">
        <v>49</v>
      </c>
      <c r="C16" s="11" t="s">
        <v>88</v>
      </c>
      <c r="D16" s="11" t="s">
        <v>84</v>
      </c>
      <c r="E16" s="12" t="n">
        <v>45997</v>
      </c>
      <c r="F16" s="11" t="n">
        <v>8</v>
      </c>
    </row>
    <row r="17" customFormat="false" ht="15" hidden="false" customHeight="true" outlineLevel="0" collapsed="false">
      <c r="A17" s="11" t="s">
        <v>53</v>
      </c>
      <c r="B17" s="11" t="s">
        <v>54</v>
      </c>
      <c r="C17" s="11" t="s">
        <v>83</v>
      </c>
      <c r="D17" s="11" t="s">
        <v>90</v>
      </c>
      <c r="E17" s="11"/>
      <c r="F17" s="11" t="n">
        <v>6</v>
      </c>
    </row>
    <row r="18" customFormat="false" ht="15" hidden="false" customHeight="true" outlineLevel="0" collapsed="false">
      <c r="A18" s="11" t="s">
        <v>53</v>
      </c>
      <c r="B18" s="11" t="s">
        <v>54</v>
      </c>
      <c r="C18" s="11" t="s">
        <v>85</v>
      </c>
      <c r="D18" s="11" t="s">
        <v>84</v>
      </c>
      <c r="E18" s="12" t="n">
        <v>45893</v>
      </c>
      <c r="F18" s="11" t="n">
        <v>6</v>
      </c>
    </row>
    <row r="19" customFormat="false" ht="15" hidden="false" customHeight="true" outlineLevel="0" collapsed="false">
      <c r="A19" s="11" t="s">
        <v>53</v>
      </c>
      <c r="B19" s="11" t="s">
        <v>54</v>
      </c>
      <c r="C19" s="11" t="s">
        <v>86</v>
      </c>
      <c r="D19" s="11" t="s">
        <v>90</v>
      </c>
      <c r="E19" s="11"/>
      <c r="F19" s="11" t="n">
        <v>6</v>
      </c>
    </row>
    <row r="20" customFormat="false" ht="15" hidden="false" customHeight="true" outlineLevel="0" collapsed="false">
      <c r="A20" s="11" t="s">
        <v>53</v>
      </c>
      <c r="B20" s="11" t="s">
        <v>54</v>
      </c>
      <c r="C20" s="11" t="s">
        <v>87</v>
      </c>
      <c r="D20" s="11" t="s">
        <v>89</v>
      </c>
      <c r="E20" s="11"/>
      <c r="F20" s="11" t="n">
        <v>6</v>
      </c>
    </row>
    <row r="21" customFormat="false" ht="15" hidden="false" customHeight="true" outlineLevel="0" collapsed="false">
      <c r="A21" s="11" t="s">
        <v>53</v>
      </c>
      <c r="B21" s="11" t="s">
        <v>54</v>
      </c>
      <c r="C21" s="11" t="s">
        <v>88</v>
      </c>
      <c r="D21" s="11" t="s">
        <v>84</v>
      </c>
      <c r="E21" s="12" t="n">
        <v>45782</v>
      </c>
      <c r="F21" s="11" t="n">
        <v>6</v>
      </c>
    </row>
    <row r="22" customFormat="false" ht="15" hidden="false" customHeight="true" outlineLevel="0" collapsed="false">
      <c r="A22" s="11" t="s">
        <v>56</v>
      </c>
      <c r="B22" s="11" t="s">
        <v>57</v>
      </c>
      <c r="C22" s="11" t="s">
        <v>83</v>
      </c>
      <c r="D22" s="11" t="s">
        <v>84</v>
      </c>
      <c r="E22" s="12" t="n">
        <v>46092</v>
      </c>
      <c r="F22" s="11" t="n">
        <v>4</v>
      </c>
    </row>
    <row r="23" customFormat="false" ht="15" hidden="false" customHeight="true" outlineLevel="0" collapsed="false">
      <c r="A23" s="11" t="s">
        <v>56</v>
      </c>
      <c r="B23" s="11" t="s">
        <v>57</v>
      </c>
      <c r="C23" s="11" t="s">
        <v>85</v>
      </c>
      <c r="D23" s="11" t="s">
        <v>89</v>
      </c>
      <c r="E23" s="11"/>
      <c r="F23" s="11" t="n">
        <v>6</v>
      </c>
    </row>
    <row r="24" customFormat="false" ht="15" hidden="false" customHeight="true" outlineLevel="0" collapsed="false">
      <c r="A24" s="11" t="s">
        <v>56</v>
      </c>
      <c r="B24" s="11" t="s">
        <v>57</v>
      </c>
      <c r="C24" s="11" t="s">
        <v>86</v>
      </c>
      <c r="D24" s="11" t="s">
        <v>90</v>
      </c>
      <c r="E24" s="11"/>
      <c r="F24" s="11" t="n">
        <v>8</v>
      </c>
    </row>
    <row r="25" customFormat="false" ht="15" hidden="false" customHeight="true" outlineLevel="0" collapsed="false">
      <c r="A25" s="11" t="s">
        <v>56</v>
      </c>
      <c r="B25" s="11" t="s">
        <v>57</v>
      </c>
      <c r="C25" s="11" t="s">
        <v>87</v>
      </c>
      <c r="D25" s="11" t="s">
        <v>84</v>
      </c>
      <c r="E25" s="12" t="n">
        <v>46157</v>
      </c>
      <c r="F25" s="11" t="n">
        <v>6</v>
      </c>
    </row>
    <row r="26" customFormat="false" ht="15" hidden="false" customHeight="true" outlineLevel="0" collapsed="false">
      <c r="A26" s="11" t="s">
        <v>56</v>
      </c>
      <c r="B26" s="11" t="s">
        <v>57</v>
      </c>
      <c r="C26" s="11" t="s">
        <v>88</v>
      </c>
      <c r="D26" s="11" t="s">
        <v>84</v>
      </c>
      <c r="E26" s="12" t="n">
        <v>45890</v>
      </c>
      <c r="F2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2026-07-02T13:54:14Z</dcterms:created>
  <dc:creator>openpyxl</dc:creator>
  <dc:description/>
  <dc:language>en-US</dc:language>
  <cp:lastModifiedBy/>
  <dcterms:modified xsi:type="dcterms:W3CDTF">2026-07-02T13:55:09Z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